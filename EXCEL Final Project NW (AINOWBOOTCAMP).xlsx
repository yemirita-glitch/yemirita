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user\Desktop\POWER BI CLASS\AINOW BOOTCAMP - LMS = MICROSOFT TRAINING\"/>
    </mc:Choice>
  </mc:AlternateContent>
  <xr:revisionPtr revIDLastSave="0" documentId="13_ncr:1_{B20AE0CD-3766-414A-9394-55DCC6794339}" xr6:coauthVersionLast="47" xr6:coauthVersionMax="47" xr10:uidLastSave="{00000000-0000-0000-0000-000000000000}"/>
  <bookViews>
    <workbookView xWindow="-108" yWindow="-108" windowWidth="23256" windowHeight="12456" activeTab="3" xr2:uid="{00000000-000D-0000-FFFF-FFFF00000000}"/>
  </bookViews>
  <sheets>
    <sheet name="Cover" sheetId="3" r:id="rId1"/>
    <sheet name="Raw Data" sheetId="1" r:id="rId2"/>
    <sheet name="Cleaned Dataset" sheetId="4" r:id="rId3"/>
    <sheet name="Pivot table" sheetId="6" r:id="rId4"/>
    <sheet name="KPIs" sheetId="7" r:id="rId5"/>
    <sheet name="Dashboard" sheetId="12" r:id="rId6"/>
    <sheet name="Dashboard Report" sheetId="14" r:id="rId7"/>
  </sheets>
  <definedNames>
    <definedName name="_xlnm._FilterDatabase" localSheetId="2" hidden="1">'Cleaned Dataset'!$A$1:$A$101</definedName>
    <definedName name="Slicer_Category">#N/A</definedName>
    <definedName name="Slicer_Customer">#N/A</definedName>
    <definedName name="Slicer_Product">#N/A</definedName>
    <definedName name="Slicer_Region">#N/A</definedName>
    <definedName name="Slicer_Revenue">#N/A</definedName>
    <definedName name="Slicer_Sales_Rep">#N/A</definedName>
    <definedName name="Slicer_Units_Sold">#N/A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 i="7" l="1"/>
  <c r="I10" i="7"/>
  <c r="D10" i="7" a="1"/>
  <c r="D10" i="7" s="1"/>
  <c r="J3" i="7" a="1"/>
  <c r="J3" i="7" s="1"/>
  <c r="D3" i="7" a="1"/>
  <c r="D3"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<sst xmlns="http://schemas.openxmlformats.org/spreadsheetml/2006/main" count="1316" uniqueCount="547">
  <si>
    <t>Date</t>
  </si>
  <si>
    <t>Region</t>
  </si>
  <si>
    <t>Product</t>
  </si>
  <si>
    <t>Category</t>
  </si>
  <si>
    <t>Units Sold</t>
  </si>
  <si>
    <t>Unit Price</t>
  </si>
  <si>
    <t>Sales Rep</t>
  </si>
  <si>
    <t>Customer</t>
  </si>
  <si>
    <t>South</t>
  </si>
  <si>
    <t>LAPTOP  A15</t>
  </si>
  <si>
    <t xml:space="preserve">computers  </t>
  </si>
  <si>
    <t xml:space="preserve">  Peter Obi   </t>
  </si>
  <si>
    <t>bright solutions</t>
  </si>
  <si>
    <t xml:space="preserve"> EAST</t>
  </si>
  <si>
    <t>tv  43q</t>
  </si>
  <si>
    <t>ELECTRONICS</t>
  </si>
  <si>
    <t xml:space="preserve">Ifeanyi Okafor  </t>
  </si>
  <si>
    <t>Musa Enterprises</t>
  </si>
  <si>
    <t xml:space="preserve">North	</t>
  </si>
  <si>
    <t>PHONE X12</t>
  </si>
  <si>
    <t>Mobile</t>
  </si>
  <si>
    <t>fola balogun</t>
  </si>
  <si>
    <t xml:space="preserve"> ZAINAB GLOBAL  </t>
  </si>
  <si>
    <t>17-MAY-2025</t>
  </si>
  <si>
    <t xml:space="preserve">South </t>
  </si>
  <si>
    <t xml:space="preserve"> MONITOR M2 4</t>
  </si>
  <si>
    <t xml:space="preserve">  PERIPHERALS </t>
  </si>
  <si>
    <t>IFEANYI OKAFOR</t>
  </si>
  <si>
    <t xml:space="preserve"> Jid eSuperstores </t>
  </si>
  <si>
    <t xml:space="preserve">28-jan-2025   </t>
  </si>
  <si>
    <t>WEST</t>
  </si>
  <si>
    <t xml:space="preserve">  Phone X12 </t>
  </si>
  <si>
    <t xml:space="preserve"> Mobile</t>
  </si>
  <si>
    <t>petero bi</t>
  </si>
  <si>
    <t>chkia  mart</t>
  </si>
  <si>
    <t xml:space="preserve">  26-May-2025 </t>
  </si>
  <si>
    <t>east,</t>
  </si>
  <si>
    <t>mobile</t>
  </si>
  <si>
    <t>IFEANYI  OKAFOR</t>
  </si>
  <si>
    <t>Musa  Enterprises</t>
  </si>
  <si>
    <t xml:space="preserve"> 06-MAY-2025 </t>
  </si>
  <si>
    <t xml:space="preserve"> WEST </t>
  </si>
  <si>
    <t xml:space="preserve">  tv 43q </t>
  </si>
  <si>
    <t xml:space="preserve"> Electronics</t>
  </si>
  <si>
    <t>AISHA  BELLO</t>
  </si>
  <si>
    <t>Chika  Mart</t>
  </si>
  <si>
    <t>10-Feb-2025</t>
  </si>
  <si>
    <t xml:space="preserve">west  </t>
  </si>
  <si>
    <t xml:space="preserve"> monitor m24  </t>
  </si>
  <si>
    <t>peripherals</t>
  </si>
  <si>
    <t>peter obi</t>
  </si>
  <si>
    <t xml:space="preserve">MUSA ENTERPIRSES </t>
  </si>
  <si>
    <t xml:space="preserve"> 01-FEB-2025 </t>
  </si>
  <si>
    <t xml:space="preserve"> East </t>
  </si>
  <si>
    <t xml:space="preserve"> CAMERA C100</t>
  </si>
  <si>
    <t xml:space="preserve">PHOTOGRAPHY </t>
  </si>
  <si>
    <t xml:space="preserve"> fola balogun </t>
  </si>
  <si>
    <t xml:space="preserve">BRIGTH  SOLUTIONS </t>
  </si>
  <si>
    <t>28-Jun-2025</t>
  </si>
  <si>
    <t>West</t>
  </si>
  <si>
    <t>Tablet  T8</t>
  </si>
  <si>
    <t xml:space="preserve">  mobile ,</t>
  </si>
  <si>
    <t xml:space="preserve">  Peter Obi </t>
  </si>
  <si>
    <t>Alpha Retailers</t>
  </si>
  <si>
    <t xml:space="preserve"> 18-Apr-2025 </t>
  </si>
  <si>
    <t>south</t>
  </si>
  <si>
    <t xml:space="preserve"> TABLET T8 	</t>
  </si>
  <si>
    <t xml:space="preserve">  Mobile</t>
  </si>
  <si>
    <t>fola  balogun</t>
  </si>
  <si>
    <t>MUSA ENTERPRISES</t>
  </si>
  <si>
    <t xml:space="preserve"> 25-Feb-2025</t>
  </si>
  <si>
    <t>North</t>
  </si>
  <si>
    <t>Speake r S10</t>
  </si>
  <si>
    <t xml:space="preserve"> Audio </t>
  </si>
  <si>
    <t>Aisha Bello</t>
  </si>
  <si>
    <t>Omega Wholesale</t>
  </si>
  <si>
    <t xml:space="preserve">  29-Apr-2025</t>
  </si>
  <si>
    <t xml:space="preserve">TABLET  T8 </t>
  </si>
  <si>
    <t xml:space="preserve">Mobile </t>
  </si>
  <si>
    <t xml:space="preserve">  AISHA BELLO</t>
  </si>
  <si>
    <t>kelvin tech</t>
  </si>
  <si>
    <t xml:space="preserve">02-Feb-2025  </t>
  </si>
  <si>
    <t xml:space="preserve"> eats</t>
  </si>
  <si>
    <t xml:space="preserve"> tv 43q</t>
  </si>
  <si>
    <t>Chinedu  Nwosu</t>
  </si>
  <si>
    <t>EMEKA  TRADERS</t>
  </si>
  <si>
    <t xml:space="preserve">15-Apr-2025  </t>
  </si>
  <si>
    <t xml:space="preserve">SOUTH </t>
  </si>
  <si>
    <t xml:space="preserve"> Speaker S10 </t>
  </si>
  <si>
    <t xml:space="preserve"> Audio .</t>
  </si>
  <si>
    <t xml:space="preserve">ifeanyi okafor  </t>
  </si>
  <si>
    <t>BRIGHT SOLUTIONS</t>
  </si>
  <si>
    <t>12-Jun-2025</t>
  </si>
  <si>
    <t xml:space="preserve">East  </t>
  </si>
  <si>
    <t>monitor m24</t>
  </si>
  <si>
    <t xml:space="preserve"> Peripherals </t>
  </si>
  <si>
    <t xml:space="preserve">chinedu nwosu   </t>
  </si>
  <si>
    <t>tola  ventures</t>
  </si>
  <si>
    <t xml:space="preserve">  31-JAN-2025 </t>
  </si>
  <si>
    <t>East</t>
  </si>
  <si>
    <t xml:space="preserve">Camera  C100 </t>
  </si>
  <si>
    <t xml:space="preserve">Photography </t>
  </si>
  <si>
    <t xml:space="preserve"> Fola Balogun </t>
  </si>
  <si>
    <t>02-FEB-2025</t>
  </si>
  <si>
    <t xml:space="preserve">  West</t>
  </si>
  <si>
    <t>Tablet T8</t>
  </si>
  <si>
    <t xml:space="preserve">  mary john </t>
  </si>
  <si>
    <t xml:space="preserve">  Jide Superstores </t>
  </si>
  <si>
    <t xml:space="preserve">25-May-2025 </t>
  </si>
  <si>
    <t xml:space="preserve"> Camera C100</t>
  </si>
  <si>
    <t>Photography</t>
  </si>
  <si>
    <t>Grace  Amos</t>
  </si>
  <si>
    <t xml:space="preserve">Femi Tech </t>
  </si>
  <si>
    <t xml:space="preserve">26-FEB-2025    </t>
  </si>
  <si>
    <t xml:space="preserve"> North</t>
  </si>
  <si>
    <t>Camera  C100</t>
  </si>
  <si>
    <t>Chinedu Nwosu</t>
  </si>
  <si>
    <t>06-Apr-2025 .</t>
  </si>
  <si>
    <t xml:space="preserve"> EAST </t>
  </si>
  <si>
    <t>Laptop A15</t>
  </si>
  <si>
    <t>Computers</t>
  </si>
  <si>
    <t xml:space="preserve">GRACE AMOS </t>
  </si>
  <si>
    <t>24-FEB-2025</t>
  </si>
  <si>
    <t xml:space="preserve"> camera c100   </t>
  </si>
  <si>
    <t xml:space="preserve">  Photography </t>
  </si>
  <si>
    <t>PETER  OBI</t>
  </si>
  <si>
    <t xml:space="preserve">Emeka Traders </t>
  </si>
  <si>
    <t xml:space="preserve">  24-mar-2025</t>
  </si>
  <si>
    <t>EAST</t>
  </si>
  <si>
    <t xml:space="preserve">Tablet T8 </t>
  </si>
  <si>
    <t xml:space="preserve">  mobile.</t>
  </si>
  <si>
    <t>Maryam Ltd</t>
  </si>
  <si>
    <t xml:space="preserve">  28-May-2025 </t>
  </si>
  <si>
    <t>north</t>
  </si>
  <si>
    <t xml:space="preserve"> Tablet T8 </t>
  </si>
  <si>
    <t xml:space="preserve">mobile   </t>
  </si>
  <si>
    <t xml:space="preserve"> ifeanyi okafor </t>
  </si>
  <si>
    <t>omega  wholesale</t>
  </si>
  <si>
    <t xml:space="preserve">  12-MAY-2025</t>
  </si>
  <si>
    <t xml:space="preserve">  West </t>
  </si>
  <si>
    <t>Laptop A15.</t>
  </si>
  <si>
    <t xml:space="preserve"> Computers </t>
  </si>
  <si>
    <t xml:space="preserve"> Grace Amos </t>
  </si>
  <si>
    <t xml:space="preserve">femi tech </t>
  </si>
  <si>
    <t xml:space="preserve">  11-MAY-2025 </t>
  </si>
  <si>
    <t xml:space="preserve"> East</t>
  </si>
  <si>
    <t xml:space="preserve">Camera C010 </t>
  </si>
  <si>
    <t>photography</t>
  </si>
  <si>
    <t xml:space="preserve">chinedu nwosu </t>
  </si>
  <si>
    <t xml:space="preserve"> 16-JAN-2025 </t>
  </si>
  <si>
    <t>North.</t>
  </si>
  <si>
    <t xml:space="preserve"> SPEAKER S10</t>
  </si>
  <si>
    <t xml:space="preserve"> Audio.</t>
  </si>
  <si>
    <t>grace amos</t>
  </si>
  <si>
    <t xml:space="preserve">  Femi Tech </t>
  </si>
  <si>
    <t>10-May-2025</t>
  </si>
  <si>
    <t xml:space="preserve"> Monitor M24 </t>
  </si>
  <si>
    <t>PERIPHERALS</t>
  </si>
  <si>
    <t xml:space="preserve"> Kelvin Tech 	</t>
  </si>
  <si>
    <t>01-feb-2025</t>
  </si>
  <si>
    <t xml:space="preserve">  South </t>
  </si>
  <si>
    <t xml:space="preserve">TV  43Q </t>
  </si>
  <si>
    <t>elecrtonics</t>
  </si>
  <si>
    <t xml:space="preserve"> zainab global	</t>
  </si>
  <si>
    <t xml:space="preserve">06-feb-2025 </t>
  </si>
  <si>
    <t>Electronics</t>
  </si>
  <si>
    <t xml:space="preserve">peter  obi </t>
  </si>
  <si>
    <t xml:space="preserve"> Femi Tech </t>
  </si>
  <si>
    <t>17-JUN-2025</t>
  </si>
  <si>
    <t>west</t>
  </si>
  <si>
    <t xml:space="preserve">Electronics   </t>
  </si>
  <si>
    <t>Tope &amp; Sons .</t>
  </si>
  <si>
    <t xml:space="preserve">  09-Jan-2025 </t>
  </si>
  <si>
    <t>TABLET T8</t>
  </si>
  <si>
    <t>mobile.</t>
  </si>
  <si>
    <t>alpha retailers</t>
  </si>
  <si>
    <t xml:space="preserve">29-Jun-2025 </t>
  </si>
  <si>
    <t xml:space="preserve">North  </t>
  </si>
  <si>
    <t xml:space="preserve"> PHOTOGRAPHY</t>
  </si>
  <si>
    <t>Peter Obi</t>
  </si>
  <si>
    <t>Alpha  Retailers</t>
  </si>
  <si>
    <t xml:space="preserve">1-9mar-2025 </t>
  </si>
  <si>
    <t xml:space="preserve">mobile </t>
  </si>
  <si>
    <t xml:space="preserve"> Peter Obi </t>
  </si>
  <si>
    <t>Femi  Tech</t>
  </si>
  <si>
    <t>06-Feb-2025</t>
  </si>
  <si>
    <t xml:space="preserve"> laptop a15 	</t>
  </si>
  <si>
    <t>Peter Obi.</t>
  </si>
  <si>
    <t xml:space="preserve">Omega Wholesale </t>
  </si>
  <si>
    <t xml:space="preserve">06-Apr-2025  </t>
  </si>
  <si>
    <t>Monitor  M24</t>
  </si>
  <si>
    <t xml:space="preserve">Peripherals  </t>
  </si>
  <si>
    <t>maryam  ltd</t>
  </si>
  <si>
    <t xml:space="preserve"> 07-Feb-2025</t>
  </si>
  <si>
    <t xml:space="preserve">Monitor  M24 </t>
  </si>
  <si>
    <t xml:space="preserve">Peripherals </t>
  </si>
  <si>
    <t xml:space="preserve"> Mary John </t>
  </si>
  <si>
    <t xml:space="preserve">TOPE  &amp; SONS </t>
  </si>
  <si>
    <t xml:space="preserve">  07-mar-2025</t>
  </si>
  <si>
    <t xml:space="preserve"> east </t>
  </si>
  <si>
    <t>CAMERA C100</t>
  </si>
  <si>
    <t>PHOTOGRAPHY</t>
  </si>
  <si>
    <t xml:space="preserve"> GRACE AMOS</t>
  </si>
  <si>
    <t xml:space="preserve">  07-May-2025</t>
  </si>
  <si>
    <t xml:space="preserve">  North</t>
  </si>
  <si>
    <t xml:space="preserve"> PHONE X12 </t>
  </si>
  <si>
    <t>Mobile.</t>
  </si>
  <si>
    <t xml:space="preserve">  MARY JOHN </t>
  </si>
  <si>
    <t>Chkia  Mart</t>
  </si>
  <si>
    <t xml:space="preserve"> 30-Jun-2025 </t>
  </si>
  <si>
    <t>unknown</t>
  </si>
  <si>
    <t xml:space="preserve"> Musa Enterprises </t>
  </si>
  <si>
    <t xml:space="preserve">NORTH  </t>
  </si>
  <si>
    <t xml:space="preserve"> mary john 	</t>
  </si>
  <si>
    <t>TOPE &amp; SONS</t>
  </si>
  <si>
    <t>13-Jan-2025</t>
  </si>
  <si>
    <t>SOUTH</t>
  </si>
  <si>
    <t xml:space="preserve">  PHONE X12 </t>
  </si>
  <si>
    <t xml:space="preserve">15-JUN-2025  </t>
  </si>
  <si>
    <t xml:space="preserve">south </t>
  </si>
  <si>
    <t>LAPTOP A15</t>
  </si>
  <si>
    <t xml:space="preserve"> Mary John</t>
  </si>
  <si>
    <t xml:space="preserve">Chika  Mart </t>
  </si>
  <si>
    <t>28-Feb-2025</t>
  </si>
  <si>
    <t xml:space="preserve">  east</t>
  </si>
  <si>
    <t xml:space="preserve">SPEAKER  S10 </t>
  </si>
  <si>
    <t>Audio</t>
  </si>
  <si>
    <t xml:space="preserve">ifeanyi okafor </t>
  </si>
  <si>
    <t>19-FEB-2025</t>
  </si>
  <si>
    <t xml:space="preserve">west	</t>
  </si>
  <si>
    <t xml:space="preserve">Mary John </t>
  </si>
  <si>
    <t xml:space="preserve">KELVIN TECH </t>
  </si>
  <si>
    <t>03-mar-2025</t>
  </si>
  <si>
    <t xml:space="preserve">  East</t>
  </si>
  <si>
    <t xml:space="preserve">Tablet  T8 </t>
  </si>
  <si>
    <t xml:space="preserve"> mobile,</t>
  </si>
  <si>
    <t>Fola  Balogun</t>
  </si>
  <si>
    <t xml:space="preserve">  ALPHA RETAILERS 	</t>
  </si>
  <si>
    <t>01-APR-2025</t>
  </si>
  <si>
    <t xml:space="preserve"> west </t>
  </si>
  <si>
    <t>MARY JOHN</t>
  </si>
  <si>
    <t xml:space="preserve">  Chika Mart </t>
  </si>
  <si>
    <t xml:space="preserve">07-APR-2025 </t>
  </si>
  <si>
    <t xml:space="preserve">South  </t>
  </si>
  <si>
    <t>TV  43Q</t>
  </si>
  <si>
    <t>grace amos,</t>
  </si>
  <si>
    <t xml:space="preserve">Jide Superstores </t>
  </si>
  <si>
    <t>26-Feb-2025</t>
  </si>
  <si>
    <t xml:space="preserve"> mobile   </t>
  </si>
  <si>
    <t xml:space="preserve"> KELVIN TECH</t>
  </si>
  <si>
    <t>01-jun-2025</t>
  </si>
  <si>
    <t>Speaker  S10</t>
  </si>
  <si>
    <t>audio</t>
  </si>
  <si>
    <t xml:space="preserve">  Aisha Bello </t>
  </si>
  <si>
    <t xml:space="preserve"> BRIGHT SOLUTIONS</t>
  </si>
  <si>
    <t xml:space="preserve">14-jan-2025  </t>
  </si>
  <si>
    <t xml:space="preserve"> West </t>
  </si>
  <si>
    <t>monitor  m24</t>
  </si>
  <si>
    <t xml:space="preserve"> PERIPHERALS</t>
  </si>
  <si>
    <t xml:space="preserve"> fola balogun</t>
  </si>
  <si>
    <t>Femi Tech</t>
  </si>
  <si>
    <t xml:space="preserve">22-feb-2025 	</t>
  </si>
  <si>
    <t xml:space="preserve"> peripherals </t>
  </si>
  <si>
    <t xml:space="preserve">grace amos </t>
  </si>
  <si>
    <t>jide superstores</t>
  </si>
  <si>
    <t xml:space="preserve">24-amr-2025	</t>
  </si>
  <si>
    <t xml:space="preserve">  WEST</t>
  </si>
  <si>
    <t xml:space="preserve">  aisha bello ,</t>
  </si>
  <si>
    <t xml:space="preserve">  Kelvin Tech </t>
  </si>
  <si>
    <t xml:space="preserve">27-Jan-2025 </t>
  </si>
  <si>
    <t xml:space="preserve"> FEMI TECH</t>
  </si>
  <si>
    <t>04-jna-2025</t>
  </si>
  <si>
    <t xml:space="preserve"> West</t>
  </si>
  <si>
    <t xml:space="preserve">tv  43q </t>
  </si>
  <si>
    <t>IFEANYI OKAFOR .</t>
  </si>
  <si>
    <t>JIDE SUPERSTORES ,</t>
  </si>
  <si>
    <t xml:space="preserve">  08-mar-2025</t>
  </si>
  <si>
    <t xml:space="preserve">north  </t>
  </si>
  <si>
    <t xml:space="preserve">phone x12 </t>
  </si>
  <si>
    <t>aisha  bello</t>
  </si>
  <si>
    <t xml:space="preserve"> adewales tores </t>
  </si>
  <si>
    <t xml:space="preserve"> 23-JAN-2025</t>
  </si>
  <si>
    <t xml:space="preserve">Tablet T8	</t>
  </si>
  <si>
    <t>MOBILE</t>
  </si>
  <si>
    <t>Chinedu  Nwosu,</t>
  </si>
  <si>
    <t xml:space="preserve">maryam ltd </t>
  </si>
  <si>
    <t>16-Jan-2025</t>
  </si>
  <si>
    <t xml:space="preserve"> EAST	</t>
  </si>
  <si>
    <t xml:space="preserve">audio </t>
  </si>
  <si>
    <t>Kelvin  Tech</t>
  </si>
  <si>
    <t>05F-eb-2025</t>
  </si>
  <si>
    <t>Sout	h</t>
  </si>
  <si>
    <t>laptop  a15</t>
  </si>
  <si>
    <t xml:space="preserve">COMPUTERS   </t>
  </si>
  <si>
    <t xml:space="preserve"> aisha bello</t>
  </si>
  <si>
    <t>zainab global</t>
  </si>
  <si>
    <t>east</t>
  </si>
  <si>
    <t xml:space="preserve"> 06-jan-2025  </t>
  </si>
  <si>
    <t xml:space="preserve">  south</t>
  </si>
  <si>
    <t xml:space="preserve">  TABLET T8 </t>
  </si>
  <si>
    <t xml:space="preserve"> Mobile </t>
  </si>
  <si>
    <t xml:space="preserve">  aisha bello</t>
  </si>
  <si>
    <t>Emeka  Traders</t>
  </si>
  <si>
    <t xml:space="preserve">  south 	</t>
  </si>
  <si>
    <t>TV 43Q</t>
  </si>
  <si>
    <t>EELCTRONICS</t>
  </si>
  <si>
    <t xml:space="preserve">  CHINEDU NWOSU</t>
  </si>
  <si>
    <t>Tola  Ventures</t>
  </si>
  <si>
    <t xml:space="preserve"> 14-Jan-2025 </t>
  </si>
  <si>
    <t xml:space="preserve"> EAST,</t>
  </si>
  <si>
    <t xml:space="preserve">  Laptop A15</t>
  </si>
  <si>
    <t xml:space="preserve">Computers  </t>
  </si>
  <si>
    <t xml:space="preserve">  chinedu nwosu </t>
  </si>
  <si>
    <t>CHIKA MART</t>
  </si>
  <si>
    <t xml:space="preserve">02-MAY-2025	</t>
  </si>
  <si>
    <t>WES	T</t>
  </si>
  <si>
    <t>Aisha Bello ,</t>
  </si>
  <si>
    <t xml:space="preserve">17-Jun-2205  </t>
  </si>
  <si>
    <t xml:space="preserve">SPEAKER S10	</t>
  </si>
  <si>
    <t>Fola Balogun</t>
  </si>
  <si>
    <t xml:space="preserve">  emeka traders</t>
  </si>
  <si>
    <t xml:space="preserve"> 13-Jan-2025 </t>
  </si>
  <si>
    <t>West.</t>
  </si>
  <si>
    <t xml:space="preserve">  Chinedu Nwosu</t>
  </si>
  <si>
    <t xml:space="preserve"> Tola Ventuers </t>
  </si>
  <si>
    <t xml:space="preserve">02-Jun-2025 </t>
  </si>
  <si>
    <t xml:space="preserve"> MOBILE</t>
  </si>
  <si>
    <t xml:space="preserve">Ifeanyi Okafor </t>
  </si>
  <si>
    <t>16-Feb-2025</t>
  </si>
  <si>
    <t>CAMERA C100,</t>
  </si>
  <si>
    <t>Photography,</t>
  </si>
  <si>
    <t xml:space="preserve">peter obi </t>
  </si>
  <si>
    <t>14-APR-2025.</t>
  </si>
  <si>
    <t xml:space="preserve"> Speaker S10</t>
  </si>
  <si>
    <t xml:space="preserve">AUDIO </t>
  </si>
  <si>
    <t xml:space="preserve">  chinedu nwosu</t>
  </si>
  <si>
    <t xml:space="preserve">Kelvin Tech </t>
  </si>
  <si>
    <t xml:space="preserve"> 06-Jan-2025</t>
  </si>
  <si>
    <t xml:space="preserve">Laptop A15 </t>
  </si>
  <si>
    <t xml:space="preserve"> COMPUTERS </t>
  </si>
  <si>
    <t xml:space="preserve">  Grace Amos .</t>
  </si>
  <si>
    <t>Chika Mart</t>
  </si>
  <si>
    <t xml:space="preserve">11-JAN-2025 </t>
  </si>
  <si>
    <t xml:space="preserve">Chinedu Nwosu </t>
  </si>
  <si>
    <t xml:space="preserve"> TOLA VENTURES</t>
  </si>
  <si>
    <t xml:space="preserve"> south,</t>
  </si>
  <si>
    <t xml:space="preserve"> Tv 43Q </t>
  </si>
  <si>
    <t xml:space="preserve"> ELECTRONICS	</t>
  </si>
  <si>
    <t xml:space="preserve">Chinedu  Nwosu </t>
  </si>
  <si>
    <t xml:space="preserve">Omega  Wholesale </t>
  </si>
  <si>
    <t xml:space="preserve"> 14-jan-2025 </t>
  </si>
  <si>
    <t xml:space="preserve"> monitor m24</t>
  </si>
  <si>
    <t xml:space="preserve">PERIPHERALS </t>
  </si>
  <si>
    <t>29-May-2025</t>
  </si>
  <si>
    <t>PHONE  X12</t>
  </si>
  <si>
    <t>zianab  global ,</t>
  </si>
  <si>
    <t xml:space="preserve">15-MAR-2025 </t>
  </si>
  <si>
    <t>Camer aC100</t>
  </si>
  <si>
    <t>AISHA BELLO</t>
  </si>
  <si>
    <t xml:space="preserve"> Jide Superstores   </t>
  </si>
  <si>
    <t>26-Mar-2025</t>
  </si>
  <si>
    <t xml:space="preserve">EAST  </t>
  </si>
  <si>
    <t xml:space="preserve">audio  </t>
  </si>
  <si>
    <t>GRACE AMOS</t>
  </si>
  <si>
    <t xml:space="preserve">Adewale  Stores  </t>
  </si>
  <si>
    <t>12-jan-2025</t>
  </si>
  <si>
    <t xml:space="preserve"> NORTH</t>
  </si>
  <si>
    <t>tv 43q</t>
  </si>
  <si>
    <t xml:space="preserve">  Electronics </t>
  </si>
  <si>
    <t xml:space="preserve">  emeka tarders</t>
  </si>
  <si>
    <t xml:space="preserve"> 23-Jan-2025 </t>
  </si>
  <si>
    <t>Norht</t>
  </si>
  <si>
    <t xml:space="preserve">  tv 43q</t>
  </si>
  <si>
    <t xml:space="preserve">  fola balogun</t>
  </si>
  <si>
    <t>Emeka Tradesr</t>
  </si>
  <si>
    <t xml:space="preserve">  05-May-2025 </t>
  </si>
  <si>
    <t xml:space="preserve">Tv 43Q  </t>
  </si>
  <si>
    <t xml:space="preserve"> ELECTRONICS </t>
  </si>
  <si>
    <t>ifeanyi  okafor</t>
  </si>
  <si>
    <t>19-May-2025</t>
  </si>
  <si>
    <t xml:space="preserve"> SOUTH </t>
  </si>
  <si>
    <t>SPEAKER S10</t>
  </si>
  <si>
    <t xml:space="preserve">  Audio </t>
  </si>
  <si>
    <t xml:space="preserve">aisha bello   </t>
  </si>
  <si>
    <t xml:space="preserve"> 04A-pr-2025</t>
  </si>
  <si>
    <t xml:space="preserve">  EAST</t>
  </si>
  <si>
    <t>TABLET  T8</t>
  </si>
  <si>
    <t>Mobile .</t>
  </si>
  <si>
    <t xml:space="preserve"> FOLA BALOGUN  </t>
  </si>
  <si>
    <t xml:space="preserve"> Musa Enterprises</t>
  </si>
  <si>
    <t xml:space="preserve"> 26-feb-2025</t>
  </si>
  <si>
    <t xml:space="preserve"> South</t>
  </si>
  <si>
    <t>monitor m24,</t>
  </si>
  <si>
    <t xml:space="preserve"> Peripherals</t>
  </si>
  <si>
    <t xml:space="preserve">Grace Amos </t>
  </si>
  <si>
    <t>femi tech</t>
  </si>
  <si>
    <t xml:space="preserve"> 03-jun-2025</t>
  </si>
  <si>
    <t xml:space="preserve"> adewale stores </t>
  </si>
  <si>
    <t xml:space="preserve">05-apr-2025 </t>
  </si>
  <si>
    <t xml:space="preserve"> COMPUTERS</t>
  </si>
  <si>
    <t xml:space="preserve"> Chinedu Nwosu </t>
  </si>
  <si>
    <t>30-JAN-2025</t>
  </si>
  <si>
    <t>MONITOR  M24</t>
  </si>
  <si>
    <t xml:space="preserve">Perpiherals  </t>
  </si>
  <si>
    <t xml:space="preserve"> 31-Jan-2025 </t>
  </si>
  <si>
    <t xml:space="preserve"> North </t>
  </si>
  <si>
    <t xml:space="preserve">laptop a15 </t>
  </si>
  <si>
    <t xml:space="preserve"> Comupters</t>
  </si>
  <si>
    <t xml:space="preserve"> AISHA BELLO </t>
  </si>
  <si>
    <t xml:space="preserve">OMEGA WHOLESALE </t>
  </si>
  <si>
    <t xml:space="preserve">27-MAY-0225 </t>
  </si>
  <si>
    <t xml:space="preserve">Aisha Bello </t>
  </si>
  <si>
    <t>08-pAr-2025</t>
  </si>
  <si>
    <t xml:space="preserve">Alpha Retailers </t>
  </si>
  <si>
    <t xml:space="preserve"> 13-FEB-2025 </t>
  </si>
  <si>
    <t xml:space="preserve"> Laptop A15</t>
  </si>
  <si>
    <t>Omega  Wholesale</t>
  </si>
  <si>
    <t>09-aMr-2025</t>
  </si>
  <si>
    <t xml:space="preserve">Laptop  A15 	</t>
  </si>
  <si>
    <t xml:space="preserve">  Computers </t>
  </si>
  <si>
    <t xml:space="preserve">IFEANYI O KAFOR 	</t>
  </si>
  <si>
    <t>femi  tech ,</t>
  </si>
  <si>
    <t>20-FEB-2052</t>
  </si>
  <si>
    <t xml:space="preserve">  west</t>
  </si>
  <si>
    <t xml:space="preserve">Speaker  S10 </t>
  </si>
  <si>
    <t>AUDIO</t>
  </si>
  <si>
    <t xml:space="preserve"> fola balogun,</t>
  </si>
  <si>
    <t>FEMI  TECH</t>
  </si>
  <si>
    <t>19-Feb-2025</t>
  </si>
  <si>
    <t>EAST ,</t>
  </si>
  <si>
    <t xml:space="preserve">Laptop A15  </t>
  </si>
  <si>
    <t xml:space="preserve"> COMPUTRES</t>
  </si>
  <si>
    <t>Mary  John</t>
  </si>
  <si>
    <t xml:space="preserve">TOEP &amp; SONS </t>
  </si>
  <si>
    <t xml:space="preserve">10-Apr-2025 </t>
  </si>
  <si>
    <t xml:space="preserve">East </t>
  </si>
  <si>
    <t>Camera C100,</t>
  </si>
  <si>
    <t>Mary John</t>
  </si>
  <si>
    <t xml:space="preserve"> Kelvin Tech</t>
  </si>
  <si>
    <t xml:space="preserve"> 21-May-2025</t>
  </si>
  <si>
    <t xml:space="preserve">GRACE AMOS   </t>
  </si>
  <si>
    <t xml:space="preserve"> MUSA ENTERPRISES </t>
  </si>
  <si>
    <t>26-jun-2025</t>
  </si>
  <si>
    <t xml:space="preserve">Camera C100   </t>
  </si>
  <si>
    <t xml:space="preserve">  Photography</t>
  </si>
  <si>
    <t xml:space="preserve"> MARY JOHN .</t>
  </si>
  <si>
    <t xml:space="preserve">Bright Solutions  </t>
  </si>
  <si>
    <t xml:space="preserve"> 20-feb-2025</t>
  </si>
  <si>
    <t xml:space="preserve">  South</t>
  </si>
  <si>
    <t>audio .</t>
  </si>
  <si>
    <t xml:space="preserve">  Peter Obi</t>
  </si>
  <si>
    <t xml:space="preserve"> TOLA VENTURES </t>
  </si>
  <si>
    <t xml:space="preserve">  27-Ju-n2025</t>
  </si>
  <si>
    <t xml:space="preserve">north	</t>
  </si>
  <si>
    <t xml:space="preserve">camera  c100 </t>
  </si>
  <si>
    <t xml:space="preserve">Photography  </t>
  </si>
  <si>
    <t xml:space="preserve"> IFEANYI OKAFOR </t>
  </si>
  <si>
    <t xml:space="preserve">  emeka traders </t>
  </si>
  <si>
    <t xml:space="preserve"> 05-Feb-2025 </t>
  </si>
  <si>
    <t xml:space="preserve">  07-Jun-2025</t>
  </si>
  <si>
    <t xml:space="preserve"> peter obi </t>
  </si>
  <si>
    <t>femi  tech</t>
  </si>
  <si>
    <t xml:space="preserve">  13-May-2025 </t>
  </si>
  <si>
    <t xml:space="preserve"> WEST</t>
  </si>
  <si>
    <t xml:space="preserve">TABLET T8 </t>
  </si>
  <si>
    <t xml:space="preserve"> Mobile  </t>
  </si>
  <si>
    <t xml:space="preserve">grace amos	</t>
  </si>
  <si>
    <t>ALPHA RETAILERS</t>
  </si>
  <si>
    <t>Capstone project</t>
  </si>
  <si>
    <t>Praise Odunayo</t>
  </si>
  <si>
    <t>Aba Joel</t>
  </si>
  <si>
    <t>Job Austin</t>
  </si>
  <si>
    <t>Speaker S10</t>
  </si>
  <si>
    <t>Tv 43Q</t>
  </si>
  <si>
    <t>Phone X12</t>
  </si>
  <si>
    <t>Monitor M24</t>
  </si>
  <si>
    <t>Camera C100</t>
  </si>
  <si>
    <t>Peripherals</t>
  </si>
  <si>
    <t>Ifeanyi Okafor</t>
  </si>
  <si>
    <t>Grace Amos</t>
  </si>
  <si>
    <t>Adewale Store</t>
  </si>
  <si>
    <t>Bright Solutions</t>
  </si>
  <si>
    <t>Zainab Global</t>
  </si>
  <si>
    <t>Jide Superstores</t>
  </si>
  <si>
    <t>Kelvin Tech</t>
  </si>
  <si>
    <t>Emeka Traders</t>
  </si>
  <si>
    <t>Tola Ventures</t>
  </si>
  <si>
    <t xml:space="preserve">Tope &amp; Sons </t>
  </si>
  <si>
    <t>Revenue</t>
  </si>
  <si>
    <t>Grand Total</t>
  </si>
  <si>
    <t>P Revenue</t>
  </si>
  <si>
    <t>REVENUE BY PRODUCT</t>
  </si>
  <si>
    <r>
      <rPr>
        <b/>
        <sz val="14"/>
        <color rgb="FF00B050"/>
        <rFont val="Segoe UI"/>
        <family val="2"/>
      </rPr>
      <t>REVENUE BY REGION</t>
    </r>
    <r>
      <rPr>
        <b/>
        <sz val="16"/>
        <color rgb="FF00B050"/>
        <rFont val="Segoe UI"/>
        <family val="2"/>
      </rPr>
      <t xml:space="preserve"> </t>
    </r>
  </si>
  <si>
    <t>R Revenue</t>
  </si>
  <si>
    <t>PRODUCT BY UNIT SOLD</t>
  </si>
  <si>
    <t>P Units Sold</t>
  </si>
  <si>
    <t>C Revenue</t>
  </si>
  <si>
    <t>TOP 3 SALES REP BY  REVENUE</t>
  </si>
  <si>
    <t>SR Revenue</t>
  </si>
  <si>
    <t>BOTTOM 5 SALES REP BY REVENUE</t>
  </si>
  <si>
    <t>Qtr1</t>
  </si>
  <si>
    <t>Qtr2</t>
  </si>
  <si>
    <t xml:space="preserve"> Revenue</t>
  </si>
  <si>
    <t>UNIY SOLD BY SALES REP</t>
  </si>
  <si>
    <t>SR Units Sold</t>
  </si>
  <si>
    <t xml:space="preserve">                       MOST SELLING PRODUCT BY UNIT SOLD</t>
  </si>
  <si>
    <t>CATEGORY AND REVENUE BY REGION</t>
  </si>
  <si>
    <t>REVENUE BY QUARTER</t>
  </si>
  <si>
    <t>Month</t>
  </si>
  <si>
    <t>Q Revenue</t>
  </si>
  <si>
    <t>TOTAL REVENUE</t>
  </si>
  <si>
    <t>AVERAGE REVENUE</t>
  </si>
  <si>
    <t>UNIT SOLD AND REVENUE BY CUSTOMER</t>
  </si>
  <si>
    <t>PRODUCT BY UNIT PRICE</t>
  </si>
  <si>
    <t>MOST SELLING PRODUCT BY UNIT SOLD</t>
  </si>
  <si>
    <t>P  Units Sold</t>
  </si>
  <si>
    <t>P Unit Price</t>
  </si>
  <si>
    <t>NO. OF CUSTOMER</t>
  </si>
  <si>
    <t xml:space="preserve"> NO. OF SALES REP</t>
  </si>
  <si>
    <t xml:space="preserve"> NO. OF PRODUCT</t>
  </si>
  <si>
    <t>SALES PERFORMANCE DASHBOARD REPORT</t>
  </si>
  <si>
    <t>Analysis of revenue by product shows that TV 43Q is the highest revenue-generating product, followed by Laptop A15 and Tablet T8. Products such as Speaker S10 and Monitor M24 contribute the least to total revenue.</t>
  </si>
  <si>
    <t>Quarterly analysis indicates that Quarter 1 (Q1) recorded higher revenue compared to Quarter 2 (Q2), showing a noticeable decline in sales performance.</t>
  </si>
  <si>
    <t>Customer-level analysis shows that FemTech, Musa Enterprises, and Omega Wholesale contribute the highest revenue and unit sales. Conversely, customers such as Adewale Store and Tope &amp; Sons contribute the least.</t>
  </si>
  <si>
    <t>The product demand analysis shows that Tablet T8 records the highest number of units sold, followed by TV 43Q and Laptop A15, while Phone X12 has the lowest units sold.</t>
  </si>
  <si>
    <t>Revenue is concentrated in a few products, customers, and regions.</t>
  </si>
  <si>
    <t>Electronics and Mobile categories are the primary revenue drivers.</t>
  </si>
  <si>
    <t>There is a decline in revenue from Q1 to Q2.</t>
  </si>
  <si>
    <t>Significant performance gaps exist among sales representatives.</t>
  </si>
  <si>
    <t>High-volume products do not always yield the highest revenue.</t>
  </si>
  <si>
    <t>Strengthen marketing and inventory support for high-performing products and regions.</t>
  </si>
  <si>
    <t xml:space="preserve">          </t>
  </si>
  <si>
    <t>Executive Summary</t>
  </si>
  <si>
    <t xml:space="preserve">The sales dashboard reveals strong overall revenue performance with a total revenue of $217,575,000 and an average revenue of $2,175,750 per transaction. </t>
  </si>
  <si>
    <t>Sales activities are driven by 7 products, supported by 10 sales representatives, and distributed across 14 customers and 4 regions</t>
  </si>
  <si>
    <t>. Revenue is largely concentrated in high-performing products, regions, and customers, indicating both strengths and potential risks in sales dependency.</t>
  </si>
  <si>
    <t>The category and revenue by region analysis highlights that the East region generates the highest revenue, followed by the South region, while North and West regions lag. Across all regions</t>
  </si>
  <si>
    <t>Electronics and Mobile categories dominate revenue contribution, whereas Audio and Peripherals contribute minimally.</t>
  </si>
  <si>
    <t xml:space="preserve">While a small group of sales representatives drives the majority of revenue, the Bottom 5 Sales </t>
  </si>
  <si>
    <t>Representatives—including Peter Obi, Mary John, Job Austin, Praise Odunayo, and Aba Joel—record significantly lower revenue contributions</t>
  </si>
  <si>
    <t>Insight</t>
  </si>
  <si>
    <t xml:space="preserve"> Recommendations</t>
  </si>
  <si>
    <t xml:space="preserve">Develop strategies to improve sales performance in North and West regions. For instance, to improve sales performance in the North and West regions, </t>
  </si>
  <si>
    <t>, the organization should implement localized marketing strategies, optimize product mix by focusing on high-demand items, enhance sales representative</t>
  </si>
  <si>
    <t>performance through training and incentives, expand the customer base, introduce flexible pricing options, strengthen distribution channels, and continuously monitor performance using data-driven tools.</t>
  </si>
  <si>
    <t>Implement customer retention programs for top customers while expanding the customer base</t>
  </si>
  <si>
    <t>Provide training and incentives to underperforming sales representatives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</si>
</sst>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quot;* #,##0.00_);_(&quot;$&quot;* \(#,##0.00\);_(&quot;$&quot;* &quot;-&quot;??_);_(@_)"/>
    <numFmt numFmtId="164" formatCode="#,##0,&quot;k&quot;"/>
    <numFmt numFmtId="165" formatCode="#,##0,\ &quot;K&quot;"/>
    <numFmt numFmtId="166" formatCode="\ #,##0,&quot;k&quot;"/>
    <numFmt numFmtId="167" formatCode="_-[$₦-46A]* #,##0.00_-;\-[$₦-46A]* #,##0.00_-;_-[$₦-46A]* &quot;-&quot;??_-;_-@_-"/>
    <numFmt numFmtId="168" formatCode="_-[$₦-46A]* #,##0_-;\-[$₦-46A]* #,##0_-;_-[$₦-46A]* &quot;-&quot;_-;_-@_-"/>
  </numFmts>
  <fonts count="15" x14ac:knownFonts="1">
    <font>
      <sz val="11"/>
      <color theme="1"/>
      <name val="Calibri"/>
      <family val="2"/>
      <scheme val="minor"/>
    </font>
    <font>
      <b/>
      <sz val="11"/>
      <color theme="0"/>
      <name val="Calibri"/>
      <family val="2"/>
    </font>
    <font>
      <b/>
      <sz val="26"/>
      <color rgb="FF002060"/>
      <name val="Calibri"/>
      <family val="2"/>
      <scheme val="minor"/>
    </font>
    <font>
      <b/>
      <sz val="11"/>
      <color rgb="FF002060"/>
      <name val="Calibri"/>
      <family val="2"/>
      <scheme val="minor"/>
    </font>
    <font>
      <sz val="11"/>
      <color theme="1"/>
      <name val="Calibri"/>
      <family val="2"/>
      <scheme val="minor"/>
    </font>
    <font>
      <sz val="8"/>
      <name val="Calibri"/>
      <family val="2"/>
      <scheme val="minor"/>
    </font>
    <font>
      <b/>
      <sz val="14"/>
      <color rgb="FF00B050"/>
      <name val="Segoe UI"/>
      <family val="2"/>
    </font>
    <font>
      <b/>
      <sz val="16"/>
      <color rgb="FF00B050"/>
      <name val="Segoe UI"/>
      <family val="2"/>
    </font>
    <font>
      <sz val="11"/>
      <color rgb="FFDBF4F5"/>
      <name val="Calibri"/>
      <family val="2"/>
      <scheme val="minor"/>
    </font>
    <font>
      <b/>
      <sz val="12"/>
      <name val="Calibri"/>
      <family val="2"/>
      <scheme val="minor"/>
    </font>
    <font>
      <b/>
      <sz val="12"/>
      <name val="Segoe UI"/>
      <family val="2"/>
    </font>
    <font>
      <sz val="11"/>
      <name val="Calibri"/>
      <family val="2"/>
      <scheme val="minor"/>
    </font>
    <font>
      <b/>
      <sz val="14"/>
      <color theme="1"/>
      <name val="Segoe UI"/>
      <family val="2"/>
    </font>
    <font>
      <sz val="10"/>
      <color theme="1"/>
      <name val="Segoe UI"/>
      <family val="2"/>
    </font>
    <font>
      <b/>
      <sz val="10"/>
      <color theme="1"/>
      <name val="Segoe UI"/>
      <family val="2"/>
    </font>
  </fonts>
  <fills count="5">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rgb="FFDBF4F5"/>
        <bgColor indexed="64"/>
      </patternFill>
    </fill>
  </fills>
  <borders count="6">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2">
    <xf numFmtId="0" fontId="0" fillId="0" borderId="0"/>
    <xf numFmtId="44" fontId="4" fillId="0" borderId="0" applyFont="0" applyFill="0" applyBorder="0" applyAlignment="0" applyProtection="0"/>
  </cellStyleXfs>
  <cellXfs count="33">
    <xf numFmtId="0" fontId="0" fillId="0" borderId="0" xfId="0"/>
    <xf numFmtId="0" fontId="0" fillId="0" borderId="1" xfId="0" applyBorder="1"/>
    <xf numFmtId="0" fontId="1" fillId="2" borderId="1" xfId="0" applyFont="1" applyFill="1" applyBorder="1" applyAlignment="1">
      <alignment horizontal="center" vertical="top"/>
    </xf>
    <xf numFmtId="15" fontId="0" fillId="0" borderId="1" xfId="0" applyNumberFormat="1" applyBorder="1"/>
    <xf numFmtId="0" fontId="0" fillId="3" borderId="0" xfId="0" applyFill="1"/>
    <xf numFmtId="0" fontId="2" fillId="3" borderId="2" xfId="0" applyFont="1" applyFill="1" applyBorder="1"/>
    <xf numFmtId="0" fontId="3" fillId="3" borderId="2" xfId="0" applyFont="1" applyFill="1" applyBorder="1"/>
    <xf numFmtId="44" fontId="0" fillId="0" borderId="0" xfId="0" applyNumberFormat="1"/>
    <xf numFmtId="0" fontId="6" fillId="0" borderId="0" xfId="0" applyFon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0" fontId="7" fillId="0" borderId="0" xfId="0" applyFont="1"/>
    <xf numFmtId="166" fontId="0" fillId="0" borderId="0" xfId="0" applyNumberFormat="1"/>
    <xf numFmtId="0" fontId="0" fillId="4" borderId="0" xfId="0" applyFill="1"/>
    <xf numFmtId="0" fontId="8" fillId="4" borderId="0" xfId="0" applyFont="1" applyFill="1"/>
    <xf numFmtId="44" fontId="9" fillId="0" borderId="0" xfId="0" applyNumberFormat="1" applyFont="1"/>
    <xf numFmtId="44" fontId="10" fillId="0" borderId="0" xfId="0" applyNumberFormat="1" applyFont="1" applyAlignment="1">
      <alignment horizontal="center"/>
    </xf>
    <xf numFmtId="167" fontId="1" fillId="2" borderId="5" xfId="1" applyNumberFormat="1" applyFont="1" applyFill="1" applyBorder="1" applyAlignment="1">
      <alignment horizontal="center" vertical="top"/>
    </xf>
    <xf numFmtId="167" fontId="0" fillId="0" borderId="3" xfId="1" applyNumberFormat="1" applyFont="1" applyBorder="1"/>
    <xf numFmtId="167" fontId="0" fillId="0" borderId="1" xfId="1" applyNumberFormat="1" applyFont="1" applyBorder="1"/>
    <xf numFmtId="167" fontId="0" fillId="0" borderId="4" xfId="1" applyNumberFormat="1" applyFont="1" applyBorder="1"/>
    <xf numFmtId="167" fontId="0" fillId="0" borderId="0" xfId="1" applyNumberFormat="1" applyFont="1"/>
    <xf numFmtId="167" fontId="1" fillId="2" borderId="1" xfId="0" applyNumberFormat="1" applyFont="1" applyFill="1" applyBorder="1" applyAlignment="1">
      <alignment horizontal="center" vertical="top"/>
    </xf>
    <xf numFmtId="167" fontId="0" fillId="0" borderId="1" xfId="0" applyNumberFormat="1" applyBorder="1"/>
    <xf numFmtId="167" fontId="0" fillId="0" borderId="0" xfId="0" applyNumberFormat="1"/>
    <xf numFmtId="168" fontId="0" fillId="0" borderId="0" xfId="0" applyNumberFormat="1"/>
    <xf numFmtId="167" fontId="11" fillId="0" borderId="0" xfId="0" applyNumberFormat="1" applyFont="1"/>
    <xf numFmtId="0" fontId="12"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13" fillId="0" borderId="0" xfId="0" applyFont="1"/>
  </cellXfs>
  <cellStyles count="2">
    <cellStyle name="Currency" xfId="1" builtinId="4"/>
    <cellStyle name="Normal" xfId="0" builtinId="0"/>
  </cellStyles>
  <dxfs count="29">
    <dxf>
      <numFmt numFmtId="165" formatCode="#,##0,\ &quot;K&quot;"/>
    </dxf>
    <dxf>
      <numFmt numFmtId="164" formatCode="#,##0,&quot;k&quot;"/>
    </dxf>
    <dxf>
      <numFmt numFmtId="164" formatCode="#,##0,&quot;k&quot;"/>
    </dxf>
    <dxf>
      <numFmt numFmtId="164" formatCode="#,##0,&quot;k&quot;"/>
    </dxf>
    <dxf>
      <numFmt numFmtId="166" formatCode="\ #,##0,&quot;k&quot;"/>
    </dxf>
    <dxf>
      <numFmt numFmtId="164" formatCode="#,##0,&quot;k&quot;"/>
    </dxf>
    <dxf>
      <numFmt numFmtId="166" formatCode="\ #,##0,&quot;k&quot;"/>
    </dxf>
    <dxf>
      <numFmt numFmtId="164" formatCode="#,##0,&quot;k&quot;"/>
    </dxf>
    <dxf>
      <numFmt numFmtId="166" formatCode="\ #,##0,&quot;k&quot;"/>
    </dxf>
    <dxf>
      <numFmt numFmtId="164" formatCode="#,##0,&quot;k&quot;"/>
    </dxf>
    <dxf>
      <numFmt numFmtId="165" formatCode="#,##0,\ &quot;K&quot;"/>
    </dxf>
    <dxf>
      <numFmt numFmtId="164" formatCode="#,##0,&quot;k&quot;"/>
    </dxf>
    <dxf>
      <font>
        <b val="0"/>
        <i val="0"/>
        <strike val="0"/>
        <condense val="0"/>
        <extend val="0"/>
        <outline val="0"/>
        <shadow val="0"/>
        <u val="none"/>
        <vertAlign val="baseline"/>
        <sz val="11"/>
        <color theme="1"/>
        <name val="Calibri"/>
        <family val="2"/>
        <scheme val="minor"/>
      </font>
      <numFmt numFmtId="167" formatCode="_-[$₦-46A]* #,##0.00_-;\-[$₦-46A]* #,##0.00_-;_-[$₦-46A]* &quot;-&quot;??_-;_-@_-"/>
    </dxf>
    <dxf>
      <numFmt numFmtId="167" formatCode="_-[$₦-46A]* #,##0.00_-;\-[$₦-46A]* #,##0.00_-;_-[$₦-46A]* &quot;-&quot;??_-;_-@_-"/>
    </dxf>
    <dxf>
      <numFmt numFmtId="166" formatCode="\ #,##0,&quot;k&quot;"/>
    </dxf>
    <dxf>
      <numFmt numFmtId="164" formatCode="#,##0,&quot;k&quot;"/>
    </dxf>
    <dxf>
      <numFmt numFmtId="166" formatCode="\ #,##0,&quot;k&quot;"/>
    </dxf>
    <dxf>
      <numFmt numFmtId="164" formatCode="#,##0,&quot;k&quot;"/>
    </dxf>
    <dxf>
      <numFmt numFmtId="164" formatCode="#,##0,&quot;k&quot;"/>
    </dxf>
    <dxf>
      <numFmt numFmtId="164" formatCode="#,##0,&quot;k&quot;"/>
    </dxf>
    <dxf>
      <numFmt numFmtId="166" formatCode="\ #,##0,&quot;k&quot;"/>
    </dxf>
    <dxf>
      <numFmt numFmtId="164" formatCode="#,##0,&quot;k&quot;"/>
    </dxf>
    <dxf>
      <numFmt numFmtId="166" formatCode="\ #,##0,&quot;k&quot;"/>
    </dxf>
    <dxf>
      <numFmt numFmtId="164" formatCode="#,##0,&quot;k&quot;"/>
    </dxf>
    <dxf>
      <numFmt numFmtId="167" formatCode="_-[$₦-46A]* #,##0.00_-;\-[$₦-46A]* #,##0.00_-;_-[$₦-46A]* &quot;-&quot;??_-;_-@_-"/>
    </dxf>
    <dxf>
      <numFmt numFmtId="164" formatCode="#,##0,&quot;k&quot;"/>
    </dxf>
    <dxf>
      <numFmt numFmtId="168" formatCode="_-[$₦-46A]* #,##0_-;\-[$₦-46A]* #,##0_-;_-[$₦-46A]* &quot;-&quot;_-;_-@_-"/>
    </dxf>
    <dxf>
      <numFmt numFmtId="164" formatCode="#,##0,&quot;k&quot;"/>
    </dxf>
    <dxf>
      <numFmt numFmtId="164" formatCode="#,##0,&quot;k&quot;"/>
    </dxf>
  </dxfs>
  <tableStyles count="1" defaultTableStyle="TableStyleMedium9" defaultPivotStyle="PivotStyleLight16">
    <tableStyle name="Invisible" pivot="0" table="0" count="0" xr9:uid="{C8C05A08-22DE-4DB0-8603-13ECDA1AF18B}"/>
  </tableStyles>
  <colors>
    <mruColors>
      <color rgb="FF3BD3CC"/>
      <color rgb="FF7FFFD4"/>
      <color rgb="FF00FFFF"/>
      <color rgb="FF1915BB"/>
      <color rgb="FF14A3C7"/>
      <color rgb="FF808000"/>
      <color rgb="FF3FBECF"/>
      <color rgb="FF0E87CC"/>
      <color rgb="FFD7E7F9"/>
      <color rgb="FFDBF4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heetMetadata" Target="metadata.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NW.xlsx]Pivot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Segoe UI" panose="020B0502040204020203" pitchFamily="34" charset="0"/>
                <a:cs typeface="Segoe UI" panose="020B0502040204020203" pitchFamily="34" charset="0"/>
              </a:rPr>
              <a:t> UNITS</a:t>
            </a:r>
            <a:r>
              <a:rPr lang="en-US" sz="1400" b="1" baseline="0">
                <a:latin typeface="Segoe UI" panose="020B0502040204020203" pitchFamily="34" charset="0"/>
                <a:cs typeface="Segoe UI" panose="020B0502040204020203" pitchFamily="34" charset="0"/>
              </a:rPr>
              <a:t> SOLD &amp; REVENUE BY CUSTOMER</a:t>
            </a:r>
            <a:endParaRPr lang="en-US" sz="1400" b="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P Units Sold</c:v>
                </c:pt>
              </c:strCache>
            </c:strRef>
          </c:tx>
          <c:spPr>
            <a:solidFill>
              <a:schemeClr val="accent1"/>
            </a:solidFill>
            <a:ln>
              <a:noFill/>
            </a:ln>
            <a:effectLst/>
          </c:spPr>
          <c:invertIfNegative val="0"/>
          <c:cat>
            <c:strRef>
              <c:f>'Pivot table'!$J$4:$J$18</c:f>
              <c:strCache>
                <c:ptCount val="14"/>
                <c:pt idx="0">
                  <c:v>Femi Tech</c:v>
                </c:pt>
                <c:pt idx="1">
                  <c:v>Musa Enterprises</c:v>
                </c:pt>
                <c:pt idx="2">
                  <c:v>Omega Wholesale</c:v>
                </c:pt>
                <c:pt idx="3">
                  <c:v>Emeka Traders</c:v>
                </c:pt>
                <c:pt idx="4">
                  <c:v>Chika Mart</c:v>
                </c:pt>
                <c:pt idx="5">
                  <c:v>Bright Solutions</c:v>
                </c:pt>
                <c:pt idx="6">
                  <c:v>Jide Superstores</c:v>
                </c:pt>
                <c:pt idx="7">
                  <c:v>Maryam Ltd</c:v>
                </c:pt>
                <c:pt idx="8">
                  <c:v>Tola Ventures</c:v>
                </c:pt>
                <c:pt idx="9">
                  <c:v>Alpha Retailers</c:v>
                </c:pt>
                <c:pt idx="10">
                  <c:v>Zainab Global</c:v>
                </c:pt>
                <c:pt idx="11">
                  <c:v>Kelvin Tech</c:v>
                </c:pt>
                <c:pt idx="12">
                  <c:v>Tope &amp; Sons </c:v>
                </c:pt>
                <c:pt idx="13">
                  <c:v>Adewale Store</c:v>
                </c:pt>
              </c:strCache>
            </c:strRef>
          </c:cat>
          <c:val>
            <c:numRef>
              <c:f>'Pivot table'!$K$4:$K$18</c:f>
              <c:numCache>
                <c:formatCode>General</c:formatCode>
                <c:ptCount val="14"/>
                <c:pt idx="0">
                  <c:v>162</c:v>
                </c:pt>
                <c:pt idx="1">
                  <c:v>133</c:v>
                </c:pt>
                <c:pt idx="2">
                  <c:v>112</c:v>
                </c:pt>
                <c:pt idx="3">
                  <c:v>93</c:v>
                </c:pt>
                <c:pt idx="4">
                  <c:v>75</c:v>
                </c:pt>
                <c:pt idx="5">
                  <c:v>80</c:v>
                </c:pt>
                <c:pt idx="6">
                  <c:v>73</c:v>
                </c:pt>
                <c:pt idx="7">
                  <c:v>76</c:v>
                </c:pt>
                <c:pt idx="8">
                  <c:v>66</c:v>
                </c:pt>
                <c:pt idx="9">
                  <c:v>83</c:v>
                </c:pt>
                <c:pt idx="10">
                  <c:v>47</c:v>
                </c:pt>
                <c:pt idx="11">
                  <c:v>82</c:v>
                </c:pt>
                <c:pt idx="12">
                  <c:v>44</c:v>
                </c:pt>
                <c:pt idx="13">
                  <c:v>15</c:v>
                </c:pt>
              </c:numCache>
            </c:numRef>
          </c:val>
          <c:extLst>
            <c:ext xmlns:c16="http://schemas.microsoft.com/office/drawing/2014/chart" uri="{C3380CC4-5D6E-409C-BE32-E72D297353CC}">
              <c16:uniqueId val="{00000000-ED1E-4F72-82CA-D53C46FAC55C}"/>
            </c:ext>
          </c:extLst>
        </c:ser>
        <c:dLbls>
          <c:showLegendKey val="0"/>
          <c:showVal val="0"/>
          <c:showCatName val="0"/>
          <c:showSerName val="0"/>
          <c:showPercent val="0"/>
          <c:showBubbleSize val="0"/>
        </c:dLbls>
        <c:gapWidth val="219"/>
        <c:overlap val="-27"/>
        <c:axId val="1098417696"/>
        <c:axId val="1098418656"/>
      </c:barChart>
      <c:lineChart>
        <c:grouping val="standard"/>
        <c:varyColors val="0"/>
        <c:ser>
          <c:idx val="1"/>
          <c:order val="1"/>
          <c:tx>
            <c:strRef>
              <c:f>'Pivot table'!$L$3</c:f>
              <c:strCache>
                <c:ptCount val="1"/>
                <c:pt idx="0">
                  <c:v>C Revenue</c:v>
                </c:pt>
              </c:strCache>
            </c:strRef>
          </c:tx>
          <c:spPr>
            <a:ln w="28575" cap="rnd">
              <a:solidFill>
                <a:schemeClr val="accent2"/>
              </a:solidFill>
              <a:round/>
            </a:ln>
            <a:effectLst/>
          </c:spPr>
          <c:marker>
            <c:symbol val="none"/>
          </c:marker>
          <c:cat>
            <c:strRef>
              <c:f>'Pivot table'!$J$4:$J$18</c:f>
              <c:strCache>
                <c:ptCount val="14"/>
                <c:pt idx="0">
                  <c:v>Femi Tech</c:v>
                </c:pt>
                <c:pt idx="1">
                  <c:v>Musa Enterprises</c:v>
                </c:pt>
                <c:pt idx="2">
                  <c:v>Omega Wholesale</c:v>
                </c:pt>
                <c:pt idx="3">
                  <c:v>Emeka Traders</c:v>
                </c:pt>
                <c:pt idx="4">
                  <c:v>Chika Mart</c:v>
                </c:pt>
                <c:pt idx="5">
                  <c:v>Bright Solutions</c:v>
                </c:pt>
                <c:pt idx="6">
                  <c:v>Jide Superstores</c:v>
                </c:pt>
                <c:pt idx="7">
                  <c:v>Maryam Ltd</c:v>
                </c:pt>
                <c:pt idx="8">
                  <c:v>Tola Ventures</c:v>
                </c:pt>
                <c:pt idx="9">
                  <c:v>Alpha Retailers</c:v>
                </c:pt>
                <c:pt idx="10">
                  <c:v>Zainab Global</c:v>
                </c:pt>
                <c:pt idx="11">
                  <c:v>Kelvin Tech</c:v>
                </c:pt>
                <c:pt idx="12">
                  <c:v>Tope &amp; Sons </c:v>
                </c:pt>
                <c:pt idx="13">
                  <c:v>Adewale Store</c:v>
                </c:pt>
              </c:strCache>
            </c:strRef>
          </c:cat>
          <c:val>
            <c:numRef>
              <c:f>'Pivot table'!$L$4:$L$18</c:f>
              <c:numCache>
                <c:formatCode>_-[$₦-46A]* #,##0_-;\-[$₦-46A]* #,##0_-;_-[$₦-46A]* "-"_-;_-@_-</c:formatCode>
                <c:ptCount val="14"/>
                <c:pt idx="0">
                  <c:v>31180000</c:v>
                </c:pt>
                <c:pt idx="1">
                  <c:v>27620000</c:v>
                </c:pt>
                <c:pt idx="2">
                  <c:v>25700000</c:v>
                </c:pt>
                <c:pt idx="3">
                  <c:v>23635000</c:v>
                </c:pt>
                <c:pt idx="4">
                  <c:v>15300000</c:v>
                </c:pt>
                <c:pt idx="5">
                  <c:v>13715000</c:v>
                </c:pt>
                <c:pt idx="6">
                  <c:v>12740000</c:v>
                </c:pt>
                <c:pt idx="7">
                  <c:v>12435000</c:v>
                </c:pt>
                <c:pt idx="8">
                  <c:v>12060000</c:v>
                </c:pt>
                <c:pt idx="9">
                  <c:v>11480000</c:v>
                </c:pt>
                <c:pt idx="10">
                  <c:v>11360000</c:v>
                </c:pt>
                <c:pt idx="11">
                  <c:v>10125000</c:v>
                </c:pt>
                <c:pt idx="12">
                  <c:v>8030000</c:v>
                </c:pt>
                <c:pt idx="13">
                  <c:v>2195000</c:v>
                </c:pt>
              </c:numCache>
            </c:numRef>
          </c:val>
          <c:smooth val="0"/>
          <c:extLst>
            <c:ext xmlns:c16="http://schemas.microsoft.com/office/drawing/2014/chart" uri="{C3380CC4-5D6E-409C-BE32-E72D297353CC}">
              <c16:uniqueId val="{00000001-ED1E-4F72-82CA-D53C46FAC55C}"/>
            </c:ext>
          </c:extLst>
        </c:ser>
        <c:dLbls>
          <c:showLegendKey val="0"/>
          <c:showVal val="0"/>
          <c:showCatName val="0"/>
          <c:showSerName val="0"/>
          <c:showPercent val="0"/>
          <c:showBubbleSize val="0"/>
        </c:dLbls>
        <c:marker val="1"/>
        <c:smooth val="0"/>
        <c:axId val="1098400096"/>
        <c:axId val="1098401056"/>
      </c:lineChart>
      <c:catAx>
        <c:axId val="10984176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Customer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418656"/>
        <c:crosses val="autoZero"/>
        <c:auto val="0"/>
        <c:lblAlgn val="ctr"/>
        <c:lblOffset val="100"/>
        <c:noMultiLvlLbl val="0"/>
      </c:catAx>
      <c:valAx>
        <c:axId val="10984186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Unit</a:t>
                </a:r>
                <a:r>
                  <a:rPr lang="en-US" baseline="0"/>
                  <a:t> Sold</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417696"/>
        <c:crosses val="autoZero"/>
        <c:crossBetween val="between"/>
      </c:valAx>
      <c:valAx>
        <c:axId val="109840105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6A]#,##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400096"/>
        <c:crosses val="max"/>
        <c:crossBetween val="between"/>
        <c:dispUnits>
          <c:builtInUnit val="million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1098400096"/>
        <c:scaling>
          <c:orientation val="minMax"/>
        </c:scaling>
        <c:delete val="1"/>
        <c:axPos val="b"/>
        <c:numFmt formatCode="General" sourceLinked="1"/>
        <c:majorTickMark val="out"/>
        <c:minorTickMark val="none"/>
        <c:tickLblPos val="nextTo"/>
        <c:crossAx val="1098401056"/>
        <c:crosses val="autoZero"/>
        <c:auto val="1"/>
        <c:lblAlgn val="ctr"/>
        <c:lblOffset val="100"/>
        <c:noMultiLvlLbl val="0"/>
      </c:cat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NW.xlsx]Pivot table!PivotTable10</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mn-cs"/>
              </a:defRPr>
            </a:pPr>
            <a:r>
              <a:rPr lang="en-US"/>
              <a:t>CATEGORY &amp; REVENUE BY REGION</a:t>
            </a:r>
          </a:p>
        </c:rich>
      </c:tx>
      <c:layout>
        <c:manualLayout>
          <c:xMode val="edge"/>
          <c:yMode val="edge"/>
          <c:x val="4.2326334208223987E-2"/>
          <c:y val="2.3148148148148147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table'!$F$35:$F$36</c:f>
              <c:strCache>
                <c:ptCount val="1"/>
                <c:pt idx="0">
                  <c:v>Audio</c:v>
                </c:pt>
              </c:strCache>
            </c:strRef>
          </c:tx>
          <c:spPr>
            <a:solidFill>
              <a:schemeClr val="accent1"/>
            </a:solidFill>
            <a:ln>
              <a:noFill/>
            </a:ln>
            <a:effectLst/>
          </c:spPr>
          <c:invertIfNegative val="0"/>
          <c:cat>
            <c:strRef>
              <c:f>'Pivot table'!$E$37:$E$41</c:f>
              <c:strCache>
                <c:ptCount val="4"/>
                <c:pt idx="0">
                  <c:v>East</c:v>
                </c:pt>
                <c:pt idx="1">
                  <c:v>North</c:v>
                </c:pt>
                <c:pt idx="2">
                  <c:v>South</c:v>
                </c:pt>
                <c:pt idx="3">
                  <c:v>West</c:v>
                </c:pt>
              </c:strCache>
            </c:strRef>
          </c:cat>
          <c:val>
            <c:numRef>
              <c:f>'Pivot table'!$F$37:$F$41</c:f>
              <c:numCache>
                <c:formatCode>\ #,##0,"k"</c:formatCode>
                <c:ptCount val="4"/>
                <c:pt idx="0">
                  <c:v>3910000</c:v>
                </c:pt>
                <c:pt idx="1">
                  <c:v>1445000</c:v>
                </c:pt>
                <c:pt idx="2">
                  <c:v>2975000</c:v>
                </c:pt>
                <c:pt idx="3">
                  <c:v>595000</c:v>
                </c:pt>
              </c:numCache>
            </c:numRef>
          </c:val>
          <c:extLst>
            <c:ext xmlns:c16="http://schemas.microsoft.com/office/drawing/2014/chart" uri="{C3380CC4-5D6E-409C-BE32-E72D297353CC}">
              <c16:uniqueId val="{00000000-988D-4BCD-B97D-AC173905D7D7}"/>
            </c:ext>
          </c:extLst>
        </c:ser>
        <c:ser>
          <c:idx val="1"/>
          <c:order val="1"/>
          <c:tx>
            <c:strRef>
              <c:f>'Pivot table'!$G$35:$G$36</c:f>
              <c:strCache>
                <c:ptCount val="1"/>
                <c:pt idx="0">
                  <c:v>Computers</c:v>
                </c:pt>
              </c:strCache>
            </c:strRef>
          </c:tx>
          <c:spPr>
            <a:solidFill>
              <a:schemeClr val="accent2"/>
            </a:solidFill>
            <a:ln>
              <a:noFill/>
            </a:ln>
            <a:effectLst/>
          </c:spPr>
          <c:invertIfNegative val="0"/>
          <c:cat>
            <c:strRef>
              <c:f>'Pivot table'!$E$37:$E$41</c:f>
              <c:strCache>
                <c:ptCount val="4"/>
                <c:pt idx="0">
                  <c:v>East</c:v>
                </c:pt>
                <c:pt idx="1">
                  <c:v>North</c:v>
                </c:pt>
                <c:pt idx="2">
                  <c:v>South</c:v>
                </c:pt>
                <c:pt idx="3">
                  <c:v>West</c:v>
                </c:pt>
              </c:strCache>
            </c:strRef>
          </c:cat>
          <c:val>
            <c:numRef>
              <c:f>'Pivot table'!$G$37:$G$41</c:f>
              <c:numCache>
                <c:formatCode>\ #,##0,"k"</c:formatCode>
                <c:ptCount val="4"/>
                <c:pt idx="0">
                  <c:v>18000000</c:v>
                </c:pt>
                <c:pt idx="1">
                  <c:v>8250000</c:v>
                </c:pt>
                <c:pt idx="2">
                  <c:v>9000000</c:v>
                </c:pt>
                <c:pt idx="3">
                  <c:v>12500000</c:v>
                </c:pt>
              </c:numCache>
            </c:numRef>
          </c:val>
          <c:extLst>
            <c:ext xmlns:c16="http://schemas.microsoft.com/office/drawing/2014/chart" uri="{C3380CC4-5D6E-409C-BE32-E72D297353CC}">
              <c16:uniqueId val="{00000007-988D-4BCD-B97D-AC173905D7D7}"/>
            </c:ext>
          </c:extLst>
        </c:ser>
        <c:ser>
          <c:idx val="2"/>
          <c:order val="2"/>
          <c:tx>
            <c:strRef>
              <c:f>'Pivot table'!$H$35:$H$36</c:f>
              <c:strCache>
                <c:ptCount val="1"/>
                <c:pt idx="0">
                  <c:v>Electronics</c:v>
                </c:pt>
              </c:strCache>
            </c:strRef>
          </c:tx>
          <c:spPr>
            <a:solidFill>
              <a:schemeClr val="accent3"/>
            </a:solidFill>
            <a:ln>
              <a:noFill/>
            </a:ln>
            <a:effectLst/>
          </c:spPr>
          <c:invertIfNegative val="0"/>
          <c:cat>
            <c:strRef>
              <c:f>'Pivot table'!$E$37:$E$41</c:f>
              <c:strCache>
                <c:ptCount val="4"/>
                <c:pt idx="0">
                  <c:v>East</c:v>
                </c:pt>
                <c:pt idx="1">
                  <c:v>North</c:v>
                </c:pt>
                <c:pt idx="2">
                  <c:v>South</c:v>
                </c:pt>
                <c:pt idx="3">
                  <c:v>West</c:v>
                </c:pt>
              </c:strCache>
            </c:strRef>
          </c:cat>
          <c:val>
            <c:numRef>
              <c:f>'Pivot table'!$H$37:$H$41</c:f>
              <c:numCache>
                <c:formatCode>\ #,##0,"k"</c:formatCode>
                <c:ptCount val="4"/>
                <c:pt idx="0">
                  <c:v>13300000</c:v>
                </c:pt>
                <c:pt idx="1">
                  <c:v>13300000</c:v>
                </c:pt>
                <c:pt idx="2">
                  <c:v>28000000</c:v>
                </c:pt>
                <c:pt idx="3">
                  <c:v>20650000</c:v>
                </c:pt>
              </c:numCache>
            </c:numRef>
          </c:val>
          <c:extLst>
            <c:ext xmlns:c16="http://schemas.microsoft.com/office/drawing/2014/chart" uri="{C3380CC4-5D6E-409C-BE32-E72D297353CC}">
              <c16:uniqueId val="{00000008-988D-4BCD-B97D-AC173905D7D7}"/>
            </c:ext>
          </c:extLst>
        </c:ser>
        <c:ser>
          <c:idx val="3"/>
          <c:order val="3"/>
          <c:tx>
            <c:strRef>
              <c:f>'Pivot table'!$I$35:$I$36</c:f>
              <c:strCache>
                <c:ptCount val="1"/>
                <c:pt idx="0">
                  <c:v>Mobile</c:v>
                </c:pt>
              </c:strCache>
            </c:strRef>
          </c:tx>
          <c:spPr>
            <a:solidFill>
              <a:schemeClr val="accent4"/>
            </a:solidFill>
            <a:ln>
              <a:noFill/>
            </a:ln>
            <a:effectLst/>
          </c:spPr>
          <c:invertIfNegative val="0"/>
          <c:cat>
            <c:strRef>
              <c:f>'Pivot table'!$E$37:$E$41</c:f>
              <c:strCache>
                <c:ptCount val="4"/>
                <c:pt idx="0">
                  <c:v>East</c:v>
                </c:pt>
                <c:pt idx="1">
                  <c:v>North</c:v>
                </c:pt>
                <c:pt idx="2">
                  <c:v>South</c:v>
                </c:pt>
                <c:pt idx="3">
                  <c:v>West</c:v>
                </c:pt>
              </c:strCache>
            </c:strRef>
          </c:cat>
          <c:val>
            <c:numRef>
              <c:f>'Pivot table'!$I$37:$I$41</c:f>
              <c:numCache>
                <c:formatCode>\ #,##0,"k"</c:formatCode>
                <c:ptCount val="4"/>
                <c:pt idx="0">
                  <c:v>18180000</c:v>
                </c:pt>
                <c:pt idx="1">
                  <c:v>10140000</c:v>
                </c:pt>
                <c:pt idx="2">
                  <c:v>11940000</c:v>
                </c:pt>
                <c:pt idx="3">
                  <c:v>8400000</c:v>
                </c:pt>
              </c:numCache>
            </c:numRef>
          </c:val>
          <c:extLst>
            <c:ext xmlns:c16="http://schemas.microsoft.com/office/drawing/2014/chart" uri="{C3380CC4-5D6E-409C-BE32-E72D297353CC}">
              <c16:uniqueId val="{00000009-988D-4BCD-B97D-AC173905D7D7}"/>
            </c:ext>
          </c:extLst>
        </c:ser>
        <c:ser>
          <c:idx val="4"/>
          <c:order val="4"/>
          <c:tx>
            <c:strRef>
              <c:f>'Pivot table'!$J$35:$J$36</c:f>
              <c:strCache>
                <c:ptCount val="1"/>
                <c:pt idx="0">
                  <c:v>Peripherals</c:v>
                </c:pt>
              </c:strCache>
            </c:strRef>
          </c:tx>
          <c:spPr>
            <a:solidFill>
              <a:schemeClr val="accent5"/>
            </a:solidFill>
            <a:ln>
              <a:noFill/>
            </a:ln>
            <a:effectLst/>
          </c:spPr>
          <c:invertIfNegative val="0"/>
          <c:cat>
            <c:strRef>
              <c:f>'Pivot table'!$E$37:$E$41</c:f>
              <c:strCache>
                <c:ptCount val="4"/>
                <c:pt idx="0">
                  <c:v>East</c:v>
                </c:pt>
                <c:pt idx="1">
                  <c:v>North</c:v>
                </c:pt>
                <c:pt idx="2">
                  <c:v>South</c:v>
                </c:pt>
                <c:pt idx="3">
                  <c:v>West</c:v>
                </c:pt>
              </c:strCache>
            </c:strRef>
          </c:cat>
          <c:val>
            <c:numRef>
              <c:f>'Pivot table'!$J$37:$J$41</c:f>
              <c:numCache>
                <c:formatCode>\ #,##0,"k"</c:formatCode>
                <c:ptCount val="4"/>
                <c:pt idx="0">
                  <c:v>3705000</c:v>
                </c:pt>
                <c:pt idx="1">
                  <c:v>1105000</c:v>
                </c:pt>
                <c:pt idx="2">
                  <c:v>3445000</c:v>
                </c:pt>
                <c:pt idx="3">
                  <c:v>3185000</c:v>
                </c:pt>
              </c:numCache>
            </c:numRef>
          </c:val>
          <c:extLst>
            <c:ext xmlns:c16="http://schemas.microsoft.com/office/drawing/2014/chart" uri="{C3380CC4-5D6E-409C-BE32-E72D297353CC}">
              <c16:uniqueId val="{0000000A-988D-4BCD-B97D-AC173905D7D7}"/>
            </c:ext>
          </c:extLst>
        </c:ser>
        <c:ser>
          <c:idx val="5"/>
          <c:order val="5"/>
          <c:tx>
            <c:strRef>
              <c:f>'Pivot table'!$K$35:$K$36</c:f>
              <c:strCache>
                <c:ptCount val="1"/>
                <c:pt idx="0">
                  <c:v>Photography</c:v>
                </c:pt>
              </c:strCache>
            </c:strRef>
          </c:tx>
          <c:spPr>
            <a:solidFill>
              <a:schemeClr val="accent6"/>
            </a:solidFill>
            <a:ln>
              <a:noFill/>
            </a:ln>
            <a:effectLst/>
          </c:spPr>
          <c:invertIfNegative val="0"/>
          <c:cat>
            <c:strRef>
              <c:f>'Pivot table'!$E$37:$E$41</c:f>
              <c:strCache>
                <c:ptCount val="4"/>
                <c:pt idx="0">
                  <c:v>East</c:v>
                </c:pt>
                <c:pt idx="1">
                  <c:v>North</c:v>
                </c:pt>
                <c:pt idx="2">
                  <c:v>South</c:v>
                </c:pt>
                <c:pt idx="3">
                  <c:v>West</c:v>
                </c:pt>
              </c:strCache>
            </c:strRef>
          </c:cat>
          <c:val>
            <c:numRef>
              <c:f>'Pivot table'!$K$37:$K$41</c:f>
              <c:numCache>
                <c:formatCode>\ #,##0,"k"</c:formatCode>
                <c:ptCount val="4"/>
                <c:pt idx="0">
                  <c:v>18025000</c:v>
                </c:pt>
                <c:pt idx="1">
                  <c:v>5250000</c:v>
                </c:pt>
                <c:pt idx="2">
                  <c:v>1750000</c:v>
                </c:pt>
                <c:pt idx="3">
                  <c:v>525000</c:v>
                </c:pt>
              </c:numCache>
            </c:numRef>
          </c:val>
          <c:extLst>
            <c:ext xmlns:c16="http://schemas.microsoft.com/office/drawing/2014/chart" uri="{C3380CC4-5D6E-409C-BE32-E72D297353CC}">
              <c16:uniqueId val="{0000000B-988D-4BCD-B97D-AC173905D7D7}"/>
            </c:ext>
          </c:extLst>
        </c:ser>
        <c:dLbls>
          <c:showLegendKey val="0"/>
          <c:showVal val="0"/>
          <c:showCatName val="0"/>
          <c:showSerName val="0"/>
          <c:showPercent val="0"/>
          <c:showBubbleSize val="0"/>
        </c:dLbls>
        <c:gapWidth val="150"/>
        <c:overlap val="100"/>
        <c:axId val="1031514736"/>
        <c:axId val="1031513296"/>
      </c:barChart>
      <c:catAx>
        <c:axId val="103151473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mn-cs"/>
              </a:defRPr>
            </a:pPr>
            <a:endParaRPr lang="en-US"/>
          </a:p>
        </c:txPr>
        <c:crossAx val="1031513296"/>
        <c:crosses val="autoZero"/>
        <c:auto val="1"/>
        <c:lblAlgn val="ctr"/>
        <c:lblOffset val="100"/>
        <c:noMultiLvlLbl val="0"/>
      </c:catAx>
      <c:valAx>
        <c:axId val="103151329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mn-cs"/>
                  </a:defRPr>
                </a:pPr>
                <a:r>
                  <a:rPr lang="en-US"/>
                  <a:t> REVENUE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mn-cs"/>
                </a:defRPr>
              </a:pPr>
              <a:endParaRPr lang="en-US"/>
            </a:p>
          </c:txPr>
        </c:title>
        <c:numFmt formatCode="[$₦-46A]#,##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mn-cs"/>
              </a:defRPr>
            </a:pPr>
            <a:endParaRPr lang="en-US"/>
          </a:p>
        </c:txPr>
        <c:crossAx val="1031514736"/>
        <c:crosses val="autoZero"/>
        <c:crossBetween val="between"/>
        <c:dispUnits>
          <c:builtInUnit val="millions"/>
          <c:dispUnitsLbl>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mn-cs"/>
                    </a:defRPr>
                  </a:pPr>
                  <a:r>
                    <a:rPr lang="en-US"/>
                    <a:t>Millions</a:t>
                  </a:r>
                </a:p>
              </c:rich>
            </c:tx>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000" b="1" i="0" baseline="0">
          <a:latin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NW.xlsx]Pivot 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Segoe UI" panose="020B0502040204020203" pitchFamily="34" charset="0"/>
                <a:cs typeface="Segoe UI" panose="020B0502040204020203" pitchFamily="34" charset="0"/>
              </a:rPr>
              <a:t>BOTTOM</a:t>
            </a:r>
            <a:r>
              <a:rPr lang="en-US" sz="1400" b="1" baseline="0">
                <a:latin typeface="Segoe UI" panose="020B0502040204020203" pitchFamily="34" charset="0"/>
                <a:cs typeface="Segoe UI" panose="020B0502040204020203" pitchFamily="34" charset="0"/>
              </a:rPr>
              <a:t> 5 SALES REP BY REVENUE</a:t>
            </a:r>
            <a:endParaRPr lang="en-US" sz="1400" b="1">
              <a:latin typeface="Segoe UI" panose="020B0502040204020203" pitchFamily="34" charset="0"/>
              <a:cs typeface="Segoe UI" panose="020B0502040204020203" pitchFamily="34" charset="0"/>
            </a:endParaRPr>
          </a:p>
        </c:rich>
      </c:tx>
      <c:layout>
        <c:manualLayout>
          <c:xMode val="edge"/>
          <c:yMode val="edge"/>
          <c:x val="4.8181825889586395E-2"/>
          <c:y val="2.45353023396439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table'!$L$25</c:f>
              <c:strCache>
                <c:ptCount val="1"/>
                <c:pt idx="0">
                  <c:v>Total</c:v>
                </c:pt>
              </c:strCache>
            </c:strRef>
          </c:tx>
          <c:spPr>
            <a:solidFill>
              <a:schemeClr val="accent1"/>
            </a:solidFill>
            <a:ln>
              <a:noFill/>
            </a:ln>
            <a:effectLst/>
            <a:sp3d/>
          </c:spPr>
          <c:invertIfNegative val="0"/>
          <c:cat>
            <c:strRef>
              <c:f>'Pivot table'!$K$26:$K$31</c:f>
              <c:strCache>
                <c:ptCount val="5"/>
                <c:pt idx="0">
                  <c:v>Peter Obi</c:v>
                </c:pt>
                <c:pt idx="1">
                  <c:v>Mary John</c:v>
                </c:pt>
                <c:pt idx="2">
                  <c:v>Job Austin</c:v>
                </c:pt>
                <c:pt idx="3">
                  <c:v>Praise Odunayo</c:v>
                </c:pt>
                <c:pt idx="4">
                  <c:v>Aba Joel</c:v>
                </c:pt>
              </c:strCache>
            </c:strRef>
          </c:cat>
          <c:val>
            <c:numRef>
              <c:f>'Pivot table'!$L$26:$L$31</c:f>
              <c:numCache>
                <c:formatCode>\ #,##0,"k"</c:formatCode>
                <c:ptCount val="5"/>
                <c:pt idx="0">
                  <c:v>24790000</c:v>
                </c:pt>
                <c:pt idx="1">
                  <c:v>20885000</c:v>
                </c:pt>
                <c:pt idx="2">
                  <c:v>5250000</c:v>
                </c:pt>
                <c:pt idx="3">
                  <c:v>2850000</c:v>
                </c:pt>
                <c:pt idx="4">
                  <c:v>650000</c:v>
                </c:pt>
              </c:numCache>
            </c:numRef>
          </c:val>
          <c:extLst>
            <c:ext xmlns:c16="http://schemas.microsoft.com/office/drawing/2014/chart" uri="{C3380CC4-5D6E-409C-BE32-E72D297353CC}">
              <c16:uniqueId val="{00000000-B132-43C4-A780-FBBBCF2DAAC9}"/>
            </c:ext>
          </c:extLst>
        </c:ser>
        <c:dLbls>
          <c:showLegendKey val="0"/>
          <c:showVal val="0"/>
          <c:showCatName val="0"/>
          <c:showSerName val="0"/>
          <c:showPercent val="0"/>
          <c:showBubbleSize val="0"/>
        </c:dLbls>
        <c:gapWidth val="150"/>
        <c:shape val="box"/>
        <c:axId val="1091670656"/>
        <c:axId val="1091671136"/>
        <c:axId val="0"/>
      </c:bar3DChart>
      <c:catAx>
        <c:axId val="109167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a:latin typeface="Segoe UI" panose="020B0502040204020203" pitchFamily="34" charset="0"/>
                    <a:cs typeface="Segoe UI" panose="020B0502040204020203" pitchFamily="34" charset="0"/>
                  </a:rPr>
                  <a:t> SALES</a:t>
                </a:r>
                <a:r>
                  <a:rPr lang="en-US" sz="1000" b="1" baseline="0">
                    <a:latin typeface="Segoe UI" panose="020B0502040204020203" pitchFamily="34" charset="0"/>
                    <a:cs typeface="Segoe UI" panose="020B0502040204020203" pitchFamily="34" charset="0"/>
                  </a:rPr>
                  <a:t> REP</a:t>
                </a:r>
                <a:endParaRPr lang="en-US" sz="1000" b="1">
                  <a:latin typeface="Segoe UI" panose="020B0502040204020203" pitchFamily="34" charset="0"/>
                  <a:cs typeface="Segoe UI" panose="020B0502040204020203" pitchFamily="34" charset="0"/>
                </a:endParaRPr>
              </a:p>
            </c:rich>
          </c:tx>
          <c:layout>
            <c:manualLayout>
              <c:xMode val="edge"/>
              <c:yMode val="edge"/>
              <c:x val="0.49754172067582975"/>
              <c:y val="0.8499989857453756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IO UI"/>
                <a:ea typeface="+mn-ea"/>
                <a:cs typeface="+mn-cs"/>
              </a:defRPr>
            </a:pPr>
            <a:endParaRPr lang="en-US"/>
          </a:p>
        </c:txPr>
        <c:crossAx val="1091671136"/>
        <c:crosses val="autoZero"/>
        <c:auto val="1"/>
        <c:lblAlgn val="ctr"/>
        <c:lblOffset val="100"/>
        <c:noMultiLvlLbl val="0"/>
      </c:catAx>
      <c:valAx>
        <c:axId val="10916711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a:latin typeface="Segoe UI" panose="020B0502040204020203" pitchFamily="34" charset="0"/>
                    <a:cs typeface="Segoe UI" panose="020B0502040204020203" pitchFamily="34" charset="0"/>
                  </a:rPr>
                  <a:t>REVENUE</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6A]#,##0" sourceLinked="0"/>
        <c:majorTickMark val="none"/>
        <c:minorTickMark val="none"/>
        <c:tickLblPos val="nextTo"/>
        <c:spPr>
          <a:noFill/>
          <a:ln>
            <a:noFill/>
          </a:ln>
          <a:effectLst/>
        </c:spPr>
        <c:txPr>
          <a:bodyPr rot="0" spcFirstLastPara="1" vertOverflow="ellipsis"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mn-cs"/>
              </a:defRPr>
            </a:pPr>
            <a:endParaRPr lang="en-US"/>
          </a:p>
        </c:txPr>
        <c:crossAx val="109167065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SegIO UI"/>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NW.xlsx]Pivot table!PivotTable6</c:name>
    <c:fmtId val="0"/>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io ui"/>
                <a:ea typeface="+mn-ea"/>
                <a:cs typeface="+mn-cs"/>
              </a:defRPr>
            </a:pPr>
            <a:r>
              <a:rPr lang="en-US" sz="1400" b="1">
                <a:latin typeface="Segoe UI" panose="020B0502040204020203" pitchFamily="34" charset="0"/>
                <a:cs typeface="Segoe UI" panose="020B0502040204020203" pitchFamily="34" charset="0"/>
              </a:rPr>
              <a:t>PRODUCT</a:t>
            </a:r>
            <a:r>
              <a:rPr lang="en-US" sz="1400" b="1" baseline="0">
                <a:latin typeface="Segoe UI" panose="020B0502040204020203" pitchFamily="34" charset="0"/>
                <a:cs typeface="Segoe UI" panose="020B0502040204020203" pitchFamily="34" charset="0"/>
              </a:rPr>
              <a:t> BY UNITS SOLD</a:t>
            </a:r>
            <a:endParaRPr lang="en-US" sz="1400" b="1">
              <a:latin typeface="Segoe UI" panose="020B0502040204020203" pitchFamily="34" charset="0"/>
              <a:cs typeface="Segoe UI" panose="020B0502040204020203" pitchFamily="34" charset="0"/>
            </a:endParaRPr>
          </a:p>
        </c:rich>
      </c:tx>
      <c:layout>
        <c:manualLayout>
          <c:xMode val="edge"/>
          <c:yMode val="edge"/>
          <c:x val="7.2374890638670183E-2"/>
          <c:y val="5.0925925925925923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io ui"/>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io ui"/>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table'!$B$17</c:f>
              <c:strCache>
                <c:ptCount val="1"/>
                <c:pt idx="0">
                  <c:v>Total</c:v>
                </c:pt>
              </c:strCache>
            </c:strRef>
          </c:tx>
          <c:spPr>
            <a:solidFill>
              <a:schemeClr val="accent1"/>
            </a:solidFill>
            <a:ln>
              <a:noFill/>
            </a:ln>
            <a:effectLst/>
            <a:sp3d/>
          </c:spPr>
          <c:invertIfNegative val="0"/>
          <c:cat>
            <c:strRef>
              <c:f>'Pivot table'!$A$18:$A$25</c:f>
              <c:strCache>
                <c:ptCount val="7"/>
                <c:pt idx="0">
                  <c:v>Tablet T8</c:v>
                </c:pt>
                <c:pt idx="1">
                  <c:v>Tv 43Q</c:v>
                </c:pt>
                <c:pt idx="2">
                  <c:v>Laptop A15</c:v>
                </c:pt>
                <c:pt idx="3">
                  <c:v>Monitor M24</c:v>
                </c:pt>
                <c:pt idx="4">
                  <c:v>Camera C100</c:v>
                </c:pt>
                <c:pt idx="5">
                  <c:v>Speaker S10</c:v>
                </c:pt>
                <c:pt idx="6">
                  <c:v>Phone X12</c:v>
                </c:pt>
              </c:strCache>
            </c:strRef>
          </c:cat>
          <c:val>
            <c:numRef>
              <c:f>'Pivot table'!$B$18:$B$25</c:f>
              <c:numCache>
                <c:formatCode>General</c:formatCode>
                <c:ptCount val="7"/>
                <c:pt idx="0">
                  <c:v>22</c:v>
                </c:pt>
                <c:pt idx="1">
                  <c:v>17</c:v>
                </c:pt>
                <c:pt idx="2">
                  <c:v>14</c:v>
                </c:pt>
                <c:pt idx="3">
                  <c:v>14</c:v>
                </c:pt>
                <c:pt idx="4">
                  <c:v>13</c:v>
                </c:pt>
                <c:pt idx="5">
                  <c:v>12</c:v>
                </c:pt>
                <c:pt idx="6">
                  <c:v>8</c:v>
                </c:pt>
              </c:numCache>
            </c:numRef>
          </c:val>
          <c:extLst>
            <c:ext xmlns:c16="http://schemas.microsoft.com/office/drawing/2014/chart" uri="{C3380CC4-5D6E-409C-BE32-E72D297353CC}">
              <c16:uniqueId val="{00000000-FADE-41D4-99DA-5D0DBC9B117F}"/>
            </c:ext>
          </c:extLst>
        </c:ser>
        <c:dLbls>
          <c:showLegendKey val="0"/>
          <c:showVal val="0"/>
          <c:showCatName val="0"/>
          <c:showSerName val="0"/>
          <c:showPercent val="0"/>
          <c:showBubbleSize val="0"/>
        </c:dLbls>
        <c:gapWidth val="150"/>
        <c:shape val="box"/>
        <c:axId val="141401919"/>
        <c:axId val="141405279"/>
        <c:axId val="0"/>
      </c:bar3DChart>
      <c:catAx>
        <c:axId val="141401919"/>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Segio ui"/>
                    <a:ea typeface="+mn-ea"/>
                    <a:cs typeface="+mn-cs"/>
                  </a:defRPr>
                </a:pPr>
                <a:r>
                  <a:rPr lang="en-US" sz="1000" b="1">
                    <a:latin typeface="Segoe UI" panose="020B0502040204020203" pitchFamily="34" charset="0"/>
                    <a:cs typeface="Segoe UI" panose="020B0502040204020203" pitchFamily="34" charset="0"/>
                  </a:rPr>
                  <a:t>Product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Segio ui"/>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io ui"/>
                <a:ea typeface="+mn-ea"/>
                <a:cs typeface="+mn-cs"/>
              </a:defRPr>
            </a:pPr>
            <a:endParaRPr lang="en-US"/>
          </a:p>
        </c:txPr>
        <c:crossAx val="141405279"/>
        <c:crosses val="autoZero"/>
        <c:auto val="1"/>
        <c:lblAlgn val="ctr"/>
        <c:lblOffset val="100"/>
        <c:noMultiLvlLbl val="0"/>
      </c:catAx>
      <c:valAx>
        <c:axId val="14140527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Segio ui"/>
                    <a:ea typeface="+mn-ea"/>
                    <a:cs typeface="+mn-cs"/>
                  </a:defRPr>
                </a:pPr>
                <a:r>
                  <a:rPr lang="en-US"/>
                  <a:t>Units Sold</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Segio ui"/>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io ui"/>
                <a:ea typeface="+mn-ea"/>
                <a:cs typeface="+mn-cs"/>
              </a:defRPr>
            </a:pPr>
            <a:endParaRPr lang="en-US"/>
          </a:p>
        </c:txPr>
        <c:crossAx val="141401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b="1" i="0" baseline="0">
          <a:latin typeface="Segio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NW.xlsx]KPIs!PivotTable9</c:name>
    <c:fmtId val="1"/>
  </c:pivotSource>
  <c:chart>
    <c:title>
      <c:tx>
        <c:rich>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r>
              <a:rPr lang="en-US"/>
              <a:t>REVENUE BY QUARTER</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41337229753493"/>
          <c:y val="0.23550707203266255"/>
          <c:w val="0.49340395594880537"/>
          <c:h val="0.53774387576552929"/>
        </c:manualLayout>
      </c:layout>
      <c:lineChart>
        <c:grouping val="standard"/>
        <c:varyColors val="0"/>
        <c:ser>
          <c:idx val="0"/>
          <c:order val="0"/>
          <c:tx>
            <c:strRef>
              <c:f>KPIs!$D$28</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KPIs!$C$29:$C$31</c:f>
              <c:strCache>
                <c:ptCount val="2"/>
                <c:pt idx="0">
                  <c:v>Qtr1</c:v>
                </c:pt>
                <c:pt idx="1">
                  <c:v>Qtr2</c:v>
                </c:pt>
              </c:strCache>
            </c:strRef>
          </c:cat>
          <c:val>
            <c:numRef>
              <c:f>KPIs!$D$29:$D$31</c:f>
              <c:numCache>
                <c:formatCode>#,##0,"k"</c:formatCode>
                <c:ptCount val="2"/>
                <c:pt idx="0">
                  <c:v>126900000</c:v>
                </c:pt>
                <c:pt idx="1">
                  <c:v>90675000</c:v>
                </c:pt>
              </c:numCache>
            </c:numRef>
          </c:val>
          <c:smooth val="0"/>
          <c:extLst>
            <c:ext xmlns:c16="http://schemas.microsoft.com/office/drawing/2014/chart" uri="{C3380CC4-5D6E-409C-BE32-E72D297353CC}">
              <c16:uniqueId val="{00000000-F3DD-4F31-8F1E-F781FBA25CB9}"/>
            </c:ext>
          </c:extLst>
        </c:ser>
        <c:dLbls>
          <c:dLblPos val="ctr"/>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398155280"/>
        <c:axId val="1398153840"/>
      </c:lineChart>
      <c:catAx>
        <c:axId val="1398155280"/>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solidFill>
                    <a:latin typeface="+mn-lt"/>
                    <a:ea typeface="+mn-ea"/>
                    <a:cs typeface="+mn-cs"/>
                  </a:defRPr>
                </a:pPr>
                <a:r>
                  <a:rPr lang="en-US"/>
                  <a:t>Quarterly</a:t>
                </a:r>
              </a:p>
            </c:rich>
          </c:tx>
          <c:layout>
            <c:manualLayout>
              <c:xMode val="edge"/>
              <c:yMode val="edge"/>
              <c:x val="0.44053312931953376"/>
              <c:y val="0.88182613536944254"/>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solidFill>
                <a:latin typeface="+mn-lt"/>
                <a:ea typeface="+mn-ea"/>
                <a:cs typeface="+mn-cs"/>
              </a:defRPr>
            </a:pPr>
            <a:endParaRPr lang="en-US"/>
          </a:p>
        </c:txPr>
        <c:crossAx val="1398153840"/>
        <c:crosses val="autoZero"/>
        <c:auto val="1"/>
        <c:lblAlgn val="ctr"/>
        <c:lblOffset val="100"/>
        <c:noMultiLvlLbl val="0"/>
      </c:catAx>
      <c:valAx>
        <c:axId val="1398153840"/>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solidFill>
                    <a:latin typeface="+mn-lt"/>
                    <a:ea typeface="+mn-ea"/>
                    <a:cs typeface="+mn-cs"/>
                  </a:defRPr>
                </a:pPr>
                <a:r>
                  <a:rPr lang="en-US"/>
                  <a:t>Revenue </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title>
        <c:numFmt formatCode="[$₦-46A]#,##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solidFill>
                <a:latin typeface="+mn-lt"/>
                <a:ea typeface="+mn-ea"/>
                <a:cs typeface="+mn-cs"/>
              </a:defRPr>
            </a:pPr>
            <a:endParaRPr lang="en-US"/>
          </a:p>
        </c:txPr>
        <c:crossAx val="1398155280"/>
        <c:crosses val="autoZero"/>
        <c:crossBetween val="between"/>
        <c:dispUnits>
          <c:builtInUnit val="millions"/>
          <c:dispUnitsLbl>
            <c:spPr>
              <a:noFill/>
              <a:ln>
                <a:noFill/>
              </a:ln>
              <a:effectLst/>
            </c:spPr>
            <c:txPr>
              <a:bodyPr rot="-5400000" spcFirstLastPara="1" vertOverflow="ellipsis" vert="horz" wrap="square" anchor="ctr" anchorCtr="1"/>
              <a:lstStyle/>
              <a:p>
                <a:pPr>
                  <a:defRPr sz="900" b="0" i="0" u="none" strike="noStrike" kern="1200" cap="all" baseline="0">
                    <a:solidFill>
                      <a:schemeClr val="dk1"/>
                    </a:solidFill>
                    <a:latin typeface="+mn-lt"/>
                    <a:ea typeface="+mn-ea"/>
                    <a:cs typeface="+mn-cs"/>
                  </a:defRPr>
                </a:pPr>
                <a:endParaRPr lang="en-US"/>
              </a:p>
            </c:txPr>
          </c:dispUnitsLbl>
        </c:dispUnits>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NW.xlsx]KPIs!PivotTable2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Segoe UI" panose="020B0502040204020203" pitchFamily="34" charset="0"/>
                <a:cs typeface="Segoe UI" panose="020B0502040204020203" pitchFamily="34" charset="0"/>
              </a:rPr>
              <a:t>REVENUE</a:t>
            </a:r>
            <a:r>
              <a:rPr lang="en-US" sz="1400" b="1" baseline="0">
                <a:latin typeface="Segoe UI" panose="020B0502040204020203" pitchFamily="34" charset="0"/>
                <a:cs typeface="Segoe UI" panose="020B0502040204020203" pitchFamily="34" charset="0"/>
              </a:rPr>
              <a:t> BY PRODUCT</a:t>
            </a:r>
            <a:endParaRPr lang="en-US" sz="1400" b="1">
              <a:latin typeface="Segoe UI" panose="020B0502040204020203" pitchFamily="34" charset="0"/>
              <a:cs typeface="Segoe UI" panose="020B0502040204020203" pitchFamily="34" charset="0"/>
            </a:endParaRPr>
          </a:p>
        </c:rich>
      </c:tx>
      <c:layout>
        <c:manualLayout>
          <c:xMode val="edge"/>
          <c:yMode val="edge"/>
          <c:x val="1.8555064095430111E-2"/>
          <c:y val="1.6259309094586932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KPIs!$D$46</c:f>
              <c:strCache>
                <c:ptCount val="1"/>
                <c:pt idx="0">
                  <c:v>Total</c:v>
                </c:pt>
              </c:strCache>
            </c:strRef>
          </c:tx>
          <c:spPr>
            <a:solidFill>
              <a:schemeClr val="accent1"/>
            </a:solidFill>
            <a:ln>
              <a:noFill/>
            </a:ln>
            <a:effectLst/>
          </c:spPr>
          <c:invertIfNegative val="0"/>
          <c:cat>
            <c:strRef>
              <c:f>KPIs!$C$47:$C$54</c:f>
              <c:strCache>
                <c:ptCount val="7"/>
                <c:pt idx="0">
                  <c:v>Tv 43Q</c:v>
                </c:pt>
                <c:pt idx="1">
                  <c:v>Laptop A15</c:v>
                </c:pt>
                <c:pt idx="2">
                  <c:v>Tablet T8</c:v>
                </c:pt>
                <c:pt idx="3">
                  <c:v>Camera C100</c:v>
                </c:pt>
                <c:pt idx="4">
                  <c:v>Phone X12</c:v>
                </c:pt>
                <c:pt idx="5">
                  <c:v>Monitor M24</c:v>
                </c:pt>
                <c:pt idx="6">
                  <c:v>Speaker S10</c:v>
                </c:pt>
              </c:strCache>
            </c:strRef>
          </c:cat>
          <c:val>
            <c:numRef>
              <c:f>KPIs!$D$47:$D$54</c:f>
              <c:numCache>
                <c:formatCode>#,##0,\ "K"</c:formatCode>
                <c:ptCount val="7"/>
                <c:pt idx="0">
                  <c:v>75250000</c:v>
                </c:pt>
                <c:pt idx="1">
                  <c:v>47750000</c:v>
                </c:pt>
                <c:pt idx="2">
                  <c:v>33900000</c:v>
                </c:pt>
                <c:pt idx="3">
                  <c:v>25550000</c:v>
                </c:pt>
                <c:pt idx="4">
                  <c:v>14760000</c:v>
                </c:pt>
                <c:pt idx="5">
                  <c:v>11440000</c:v>
                </c:pt>
                <c:pt idx="6">
                  <c:v>8925000</c:v>
                </c:pt>
              </c:numCache>
            </c:numRef>
          </c:val>
          <c:extLst>
            <c:ext xmlns:c16="http://schemas.microsoft.com/office/drawing/2014/chart" uri="{C3380CC4-5D6E-409C-BE32-E72D297353CC}">
              <c16:uniqueId val="{00000000-83D2-4CC7-BD27-DA63C4A11AB1}"/>
            </c:ext>
          </c:extLst>
        </c:ser>
        <c:dLbls>
          <c:showLegendKey val="0"/>
          <c:showVal val="0"/>
          <c:showCatName val="0"/>
          <c:showSerName val="0"/>
          <c:showPercent val="0"/>
          <c:showBubbleSize val="0"/>
        </c:dLbls>
        <c:gapWidth val="219"/>
        <c:overlap val="-27"/>
        <c:axId val="1398159600"/>
        <c:axId val="1398044880"/>
      </c:barChart>
      <c:catAx>
        <c:axId val="1398159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Segoe UI" panose="020B0502040204020203" pitchFamily="34" charset="0"/>
                    <a:cs typeface="Segoe UI" panose="020B0502040204020203" pitchFamily="34" charset="0"/>
                  </a:rPr>
                  <a:t>Product</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044880"/>
        <c:crosses val="autoZero"/>
        <c:auto val="1"/>
        <c:lblAlgn val="ctr"/>
        <c:lblOffset val="100"/>
        <c:noMultiLvlLbl val="0"/>
      </c:catAx>
      <c:valAx>
        <c:axId val="13980448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Segoe UI" panose="020B0502040204020203" pitchFamily="34" charset="0"/>
                    <a:cs typeface="Segoe UI" panose="020B0502040204020203" pitchFamily="34" charset="0"/>
                  </a:rPr>
                  <a:t>Revenue</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6A]#,##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159600"/>
        <c:crosses val="autoZero"/>
        <c:crossBetween val="between"/>
        <c:dispUnits>
          <c:builtInUnit val="millions"/>
          <c:dispUnitsLbl>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Segoe UI" panose="020B0502040204020203" pitchFamily="34" charset="0"/>
                      <a:cs typeface="Segoe UI" panose="020B0502040204020203" pitchFamily="34" charset="0"/>
                    </a:rPr>
                    <a:t>Millions</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accent1"/>
      </a:fgClr>
      <a:bgClr>
        <a:schemeClr val="bg1"/>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NW.xlsx]KPIs!PivotTable6</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t>TOP 3 SALES REP BY REVENUE</a:t>
            </a:r>
          </a:p>
        </c:rich>
      </c:tx>
      <c:layout>
        <c:manualLayout>
          <c:xMode val="edge"/>
          <c:yMode val="edge"/>
          <c:x val="0.19611111111111112"/>
          <c:y val="4.06459609215514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KPIs!$D$84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3A47-485B-8B30-4A6B8EA7ABE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3A47-485B-8B30-4A6B8EA7ABE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3A47-485B-8B30-4A6B8EA7AB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KPIs!$C$85:$C$88</c:f>
              <c:strCache>
                <c:ptCount val="3"/>
                <c:pt idx="0">
                  <c:v>Chinedu Nwosu</c:v>
                </c:pt>
                <c:pt idx="1">
                  <c:v>Fola Balogun</c:v>
                </c:pt>
                <c:pt idx="2">
                  <c:v>Grace Amos</c:v>
                </c:pt>
              </c:strCache>
            </c:strRef>
          </c:cat>
          <c:val>
            <c:numRef>
              <c:f>KPIs!$D$85:$D$88</c:f>
              <c:numCache>
                <c:formatCode>\ #,##0,"k"</c:formatCode>
                <c:ptCount val="3"/>
                <c:pt idx="0">
                  <c:v>41520000</c:v>
                </c:pt>
                <c:pt idx="1">
                  <c:v>34020000</c:v>
                </c:pt>
                <c:pt idx="2">
                  <c:v>32080000</c:v>
                </c:pt>
              </c:numCache>
            </c:numRef>
          </c:val>
          <c:extLst>
            <c:ext xmlns:c16="http://schemas.microsoft.com/office/drawing/2014/chart" uri="{C3380CC4-5D6E-409C-BE32-E72D297353CC}">
              <c16:uniqueId val="{00000000-5F14-4471-8635-336EF9D018F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NW.xlsx]KPIs!PivotTable10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Segoe UI" panose="020B0502040204020203" pitchFamily="34" charset="0"/>
                <a:cs typeface="Segoe UI" panose="020B0502040204020203" pitchFamily="34" charset="0"/>
              </a:rPr>
              <a:t>REVENUE</a:t>
            </a:r>
            <a:r>
              <a:rPr lang="en-US" sz="1400" b="1" baseline="0">
                <a:latin typeface="Segoe UI" panose="020B0502040204020203" pitchFamily="34" charset="0"/>
                <a:cs typeface="Segoe UI" panose="020B0502040204020203" pitchFamily="34" charset="0"/>
              </a:rPr>
              <a:t> BY REGION</a:t>
            </a:r>
            <a:endParaRPr lang="en-US" sz="1400" b="1">
              <a:latin typeface="Segoe UI" panose="020B0502040204020203" pitchFamily="34" charset="0"/>
              <a:cs typeface="Segoe UI" panose="020B0502040204020203" pitchFamily="34" charset="0"/>
            </a:endParaRPr>
          </a:p>
        </c:rich>
      </c:tx>
      <c:layout>
        <c:manualLayout>
          <c:xMode val="edge"/>
          <c:yMode val="edge"/>
          <c:x val="3.7992168156163485E-2"/>
          <c:y val="3.64491453105926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KPIs!$D$99</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KPIs!$C$100:$C$104</c:f>
              <c:strCache>
                <c:ptCount val="4"/>
                <c:pt idx="0">
                  <c:v>East</c:v>
                </c:pt>
                <c:pt idx="1">
                  <c:v>South</c:v>
                </c:pt>
                <c:pt idx="2">
                  <c:v>West</c:v>
                </c:pt>
                <c:pt idx="3">
                  <c:v>North</c:v>
                </c:pt>
              </c:strCache>
            </c:strRef>
          </c:cat>
          <c:val>
            <c:numRef>
              <c:f>KPIs!$D$100:$D$104</c:f>
              <c:numCache>
                <c:formatCode>\ #,##0,"k"</c:formatCode>
                <c:ptCount val="4"/>
                <c:pt idx="0">
                  <c:v>75120000</c:v>
                </c:pt>
                <c:pt idx="1">
                  <c:v>57110000</c:v>
                </c:pt>
                <c:pt idx="2">
                  <c:v>45855000</c:v>
                </c:pt>
                <c:pt idx="3">
                  <c:v>39490000</c:v>
                </c:pt>
              </c:numCache>
            </c:numRef>
          </c:val>
          <c:extLst>
            <c:ext xmlns:c16="http://schemas.microsoft.com/office/drawing/2014/chart" uri="{C3380CC4-5D6E-409C-BE32-E72D297353CC}">
              <c16:uniqueId val="{00000000-1BED-469A-A021-CA8B3AA42DB3}"/>
            </c:ext>
          </c:extLst>
        </c:ser>
        <c:dLbls>
          <c:showLegendKey val="0"/>
          <c:showVal val="1"/>
          <c:showCatName val="0"/>
          <c:showSerName val="0"/>
          <c:showPercent val="0"/>
          <c:showBubbleSize val="0"/>
        </c:dLbls>
        <c:gapWidth val="150"/>
        <c:shape val="box"/>
        <c:axId val="1219890144"/>
        <c:axId val="1219890624"/>
        <c:axId val="0"/>
      </c:bar3DChart>
      <c:catAx>
        <c:axId val="1219890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Segoe UI" panose="020B0502040204020203" pitchFamily="34" charset="0"/>
                    <a:cs typeface="Segoe UI" panose="020B0502040204020203" pitchFamily="34" charset="0"/>
                  </a:rPr>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mn-cs"/>
              </a:defRPr>
            </a:pPr>
            <a:endParaRPr lang="en-US"/>
          </a:p>
        </c:txPr>
        <c:crossAx val="1219890624"/>
        <c:crossesAt val="0"/>
        <c:auto val="1"/>
        <c:lblAlgn val="ctr"/>
        <c:lblOffset val="100"/>
        <c:noMultiLvlLbl val="0"/>
      </c:catAx>
      <c:valAx>
        <c:axId val="12198906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Segoe UI" panose="020B0502040204020203" pitchFamily="34" charset="0"/>
                    <a:cs typeface="Segoe UI" panose="020B0502040204020203" pitchFamily="34" charset="0"/>
                  </a:rPr>
                  <a:t> REVENUE</a:t>
                </a:r>
              </a:p>
            </c:rich>
          </c:tx>
          <c:layout>
            <c:manualLayout>
              <c:xMode val="edge"/>
              <c:yMode val="edge"/>
              <c:x val="6.0438175608852715E-2"/>
              <c:y val="0.3333173888253234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6A]#,##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mn-cs"/>
              </a:defRPr>
            </a:pPr>
            <a:endParaRPr lang="en-US"/>
          </a:p>
        </c:txPr>
        <c:crossAx val="1219890144"/>
        <c:crosses val="autoZero"/>
        <c:crossBetween val="between"/>
        <c:dispUnits>
          <c:builtInUnit val="millions"/>
          <c:dispUnitsLbl>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Segoe UI" panose="020B0502040204020203" pitchFamily="34" charset="0"/>
                      <a:cs typeface="Segoe UI" panose="020B0502040204020203" pitchFamily="34" charset="0"/>
                    </a:rPr>
                    <a:t>Millions</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NW.xlsx]Pivot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bg1">
                    <a:alpha val="99000"/>
                  </a:schemeClr>
                </a:solidFill>
                <a:latin typeface="+mn-lt"/>
                <a:ea typeface="+mn-ea"/>
                <a:cs typeface="+mn-cs"/>
              </a:defRPr>
            </a:pPr>
            <a:r>
              <a:rPr lang="en-US" sz="1400" b="1">
                <a:latin typeface="Segoe UI" panose="020B0502040204020203" pitchFamily="34" charset="0"/>
                <a:cs typeface="Segoe UI" panose="020B0502040204020203" pitchFamily="34" charset="0"/>
              </a:rPr>
              <a:t> UNITS SOLD &amp; REVENUE BY CUSTOMER</a:t>
            </a:r>
          </a:p>
        </c:rich>
      </c:tx>
      <c:layout>
        <c:manualLayout>
          <c:xMode val="edge"/>
          <c:yMode val="edge"/>
          <c:x val="3.611291912923003E-2"/>
          <c:y val="3.71287128712871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alpha val="99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FFFD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alpha val="99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alpha val="99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7FFFD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99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99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7FFFD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99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99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P Units Sold</c:v>
                </c:pt>
              </c:strCache>
            </c:strRef>
          </c:tx>
          <c:spPr>
            <a:solidFill>
              <a:srgbClr val="7FFFD4"/>
            </a:solidFill>
            <a:ln>
              <a:noFill/>
            </a:ln>
            <a:effectLst/>
          </c:spPr>
          <c:invertIfNegative val="0"/>
          <c:cat>
            <c:strRef>
              <c:f>'Pivot table'!$J$4:$J$18</c:f>
              <c:strCache>
                <c:ptCount val="14"/>
                <c:pt idx="0">
                  <c:v>Femi Tech</c:v>
                </c:pt>
                <c:pt idx="1">
                  <c:v>Musa Enterprises</c:v>
                </c:pt>
                <c:pt idx="2">
                  <c:v>Omega Wholesale</c:v>
                </c:pt>
                <c:pt idx="3">
                  <c:v>Emeka Traders</c:v>
                </c:pt>
                <c:pt idx="4">
                  <c:v>Chika Mart</c:v>
                </c:pt>
                <c:pt idx="5">
                  <c:v>Bright Solutions</c:v>
                </c:pt>
                <c:pt idx="6">
                  <c:v>Jide Superstores</c:v>
                </c:pt>
                <c:pt idx="7">
                  <c:v>Maryam Ltd</c:v>
                </c:pt>
                <c:pt idx="8">
                  <c:v>Tola Ventures</c:v>
                </c:pt>
                <c:pt idx="9">
                  <c:v>Alpha Retailers</c:v>
                </c:pt>
                <c:pt idx="10">
                  <c:v>Zainab Global</c:v>
                </c:pt>
                <c:pt idx="11">
                  <c:v>Kelvin Tech</c:v>
                </c:pt>
                <c:pt idx="12">
                  <c:v>Tope &amp; Sons </c:v>
                </c:pt>
                <c:pt idx="13">
                  <c:v>Adewale Store</c:v>
                </c:pt>
              </c:strCache>
            </c:strRef>
          </c:cat>
          <c:val>
            <c:numRef>
              <c:f>'Pivot table'!$K$4:$K$18</c:f>
              <c:numCache>
                <c:formatCode>General</c:formatCode>
                <c:ptCount val="14"/>
                <c:pt idx="0">
                  <c:v>162</c:v>
                </c:pt>
                <c:pt idx="1">
                  <c:v>133</c:v>
                </c:pt>
                <c:pt idx="2">
                  <c:v>112</c:v>
                </c:pt>
                <c:pt idx="3">
                  <c:v>93</c:v>
                </c:pt>
                <c:pt idx="4">
                  <c:v>75</c:v>
                </c:pt>
                <c:pt idx="5">
                  <c:v>80</c:v>
                </c:pt>
                <c:pt idx="6">
                  <c:v>73</c:v>
                </c:pt>
                <c:pt idx="7">
                  <c:v>76</c:v>
                </c:pt>
                <c:pt idx="8">
                  <c:v>66</c:v>
                </c:pt>
                <c:pt idx="9">
                  <c:v>83</c:v>
                </c:pt>
                <c:pt idx="10">
                  <c:v>47</c:v>
                </c:pt>
                <c:pt idx="11">
                  <c:v>82</c:v>
                </c:pt>
                <c:pt idx="12">
                  <c:v>44</c:v>
                </c:pt>
                <c:pt idx="13">
                  <c:v>15</c:v>
                </c:pt>
              </c:numCache>
            </c:numRef>
          </c:val>
          <c:extLst>
            <c:ext xmlns:c16="http://schemas.microsoft.com/office/drawing/2014/chart" uri="{C3380CC4-5D6E-409C-BE32-E72D297353CC}">
              <c16:uniqueId val="{00000000-CD66-4D33-8C8A-5B93A6BD0E29}"/>
            </c:ext>
          </c:extLst>
        </c:ser>
        <c:dLbls>
          <c:showLegendKey val="0"/>
          <c:showVal val="0"/>
          <c:showCatName val="0"/>
          <c:showSerName val="0"/>
          <c:showPercent val="0"/>
          <c:showBubbleSize val="0"/>
        </c:dLbls>
        <c:gapWidth val="219"/>
        <c:overlap val="-27"/>
        <c:axId val="1098417696"/>
        <c:axId val="1098418656"/>
      </c:barChart>
      <c:lineChart>
        <c:grouping val="standard"/>
        <c:varyColors val="0"/>
        <c:ser>
          <c:idx val="1"/>
          <c:order val="1"/>
          <c:tx>
            <c:strRef>
              <c:f>'Pivot table'!$L$3</c:f>
              <c:strCache>
                <c:ptCount val="1"/>
                <c:pt idx="0">
                  <c:v>C Revenue</c:v>
                </c:pt>
              </c:strCache>
            </c:strRef>
          </c:tx>
          <c:spPr>
            <a:ln w="28575" cap="rnd">
              <a:solidFill>
                <a:schemeClr val="accent2"/>
              </a:solidFill>
              <a:round/>
            </a:ln>
            <a:effectLst/>
          </c:spPr>
          <c:marker>
            <c:symbol val="none"/>
          </c:marker>
          <c:cat>
            <c:strRef>
              <c:f>'Pivot table'!$J$4:$J$18</c:f>
              <c:strCache>
                <c:ptCount val="14"/>
                <c:pt idx="0">
                  <c:v>Femi Tech</c:v>
                </c:pt>
                <c:pt idx="1">
                  <c:v>Musa Enterprises</c:v>
                </c:pt>
                <c:pt idx="2">
                  <c:v>Omega Wholesale</c:v>
                </c:pt>
                <c:pt idx="3">
                  <c:v>Emeka Traders</c:v>
                </c:pt>
                <c:pt idx="4">
                  <c:v>Chika Mart</c:v>
                </c:pt>
                <c:pt idx="5">
                  <c:v>Bright Solutions</c:v>
                </c:pt>
                <c:pt idx="6">
                  <c:v>Jide Superstores</c:v>
                </c:pt>
                <c:pt idx="7">
                  <c:v>Maryam Ltd</c:v>
                </c:pt>
                <c:pt idx="8">
                  <c:v>Tola Ventures</c:v>
                </c:pt>
                <c:pt idx="9">
                  <c:v>Alpha Retailers</c:v>
                </c:pt>
                <c:pt idx="10">
                  <c:v>Zainab Global</c:v>
                </c:pt>
                <c:pt idx="11">
                  <c:v>Kelvin Tech</c:v>
                </c:pt>
                <c:pt idx="12">
                  <c:v>Tope &amp; Sons </c:v>
                </c:pt>
                <c:pt idx="13">
                  <c:v>Adewale Store</c:v>
                </c:pt>
              </c:strCache>
            </c:strRef>
          </c:cat>
          <c:val>
            <c:numRef>
              <c:f>'Pivot table'!$L$4:$L$18</c:f>
              <c:numCache>
                <c:formatCode>_-[$₦-46A]* #,##0_-;\-[$₦-46A]* #,##0_-;_-[$₦-46A]* "-"_-;_-@_-</c:formatCode>
                <c:ptCount val="14"/>
                <c:pt idx="0">
                  <c:v>31180000</c:v>
                </c:pt>
                <c:pt idx="1">
                  <c:v>27620000</c:v>
                </c:pt>
                <c:pt idx="2">
                  <c:v>25700000</c:v>
                </c:pt>
                <c:pt idx="3">
                  <c:v>23635000</c:v>
                </c:pt>
                <c:pt idx="4">
                  <c:v>15300000</c:v>
                </c:pt>
                <c:pt idx="5">
                  <c:v>13715000</c:v>
                </c:pt>
                <c:pt idx="6">
                  <c:v>12740000</c:v>
                </c:pt>
                <c:pt idx="7">
                  <c:v>12435000</c:v>
                </c:pt>
                <c:pt idx="8">
                  <c:v>12060000</c:v>
                </c:pt>
                <c:pt idx="9">
                  <c:v>11480000</c:v>
                </c:pt>
                <c:pt idx="10">
                  <c:v>11360000</c:v>
                </c:pt>
                <c:pt idx="11">
                  <c:v>10125000</c:v>
                </c:pt>
                <c:pt idx="12">
                  <c:v>8030000</c:v>
                </c:pt>
                <c:pt idx="13">
                  <c:v>2195000</c:v>
                </c:pt>
              </c:numCache>
            </c:numRef>
          </c:val>
          <c:smooth val="0"/>
          <c:extLst>
            <c:ext xmlns:c16="http://schemas.microsoft.com/office/drawing/2014/chart" uri="{C3380CC4-5D6E-409C-BE32-E72D297353CC}">
              <c16:uniqueId val="{00000001-CD66-4D33-8C8A-5B93A6BD0E29}"/>
            </c:ext>
          </c:extLst>
        </c:ser>
        <c:dLbls>
          <c:showLegendKey val="0"/>
          <c:showVal val="0"/>
          <c:showCatName val="0"/>
          <c:showSerName val="0"/>
          <c:showPercent val="0"/>
          <c:showBubbleSize val="0"/>
        </c:dLbls>
        <c:marker val="1"/>
        <c:smooth val="0"/>
        <c:axId val="1098400096"/>
        <c:axId val="1098401056"/>
      </c:lineChart>
      <c:catAx>
        <c:axId val="109841769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bg1">
                        <a:alpha val="99000"/>
                      </a:schemeClr>
                    </a:solidFill>
                    <a:latin typeface="Segoe UI" panose="020B0502040204020203" pitchFamily="34" charset="0"/>
                    <a:ea typeface="+mn-ea"/>
                    <a:cs typeface="+mn-cs"/>
                  </a:defRPr>
                </a:pPr>
                <a:r>
                  <a:rPr lang="en-US" b="1" i="0" baseline="0">
                    <a:latin typeface="Segoe UI" panose="020B0502040204020203" pitchFamily="34" charset="0"/>
                  </a:rPr>
                  <a:t> Customer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1">
                      <a:alpha val="99000"/>
                    </a:schemeClr>
                  </a:solidFill>
                  <a:latin typeface="Segoe UI" panose="020B0502040204020203" pitchFamily="34" charset="0"/>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2700000" spcFirstLastPara="1" vertOverflow="ellipsis" wrap="square" anchor="ctr" anchorCtr="1"/>
          <a:lstStyle/>
          <a:p>
            <a:pPr>
              <a:defRPr sz="1000" b="1" i="0" u="none" strike="noStrike" kern="1200" baseline="0">
                <a:solidFill>
                  <a:schemeClr val="bg1">
                    <a:alpha val="99000"/>
                  </a:schemeClr>
                </a:solidFill>
                <a:latin typeface="Segoe UI" panose="020B0502040204020203" pitchFamily="34" charset="0"/>
                <a:ea typeface="+mn-ea"/>
                <a:cs typeface="+mn-cs"/>
              </a:defRPr>
            </a:pPr>
            <a:endParaRPr lang="en-US"/>
          </a:p>
        </c:txPr>
        <c:crossAx val="1098418656"/>
        <c:crosses val="autoZero"/>
        <c:auto val="0"/>
        <c:lblAlgn val="ctr"/>
        <c:lblOffset val="100"/>
        <c:noMultiLvlLbl val="0"/>
      </c:catAx>
      <c:valAx>
        <c:axId val="10984186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alpha val="99000"/>
                      </a:schemeClr>
                    </a:solidFill>
                    <a:latin typeface="+mn-lt"/>
                    <a:ea typeface="+mn-ea"/>
                    <a:cs typeface="+mn-cs"/>
                  </a:defRPr>
                </a:pPr>
                <a:r>
                  <a:rPr lang="en-US" b="1">
                    <a:latin typeface="Segoe UI" panose="020B0502040204020203" pitchFamily="34" charset="0"/>
                    <a:cs typeface="Segoe UI" panose="020B0502040204020203" pitchFamily="34" charset="0"/>
                  </a:rPr>
                  <a:t> Units</a:t>
                </a:r>
                <a:r>
                  <a:rPr lang="en-US" b="1" baseline="0">
                    <a:latin typeface="Segoe UI" panose="020B0502040204020203" pitchFamily="34" charset="0"/>
                    <a:cs typeface="Segoe UI" panose="020B0502040204020203" pitchFamily="34" charset="0"/>
                  </a:rPr>
                  <a:t> Sold</a:t>
                </a:r>
                <a:endParaRPr lang="en-US" b="1">
                  <a:latin typeface="Segoe UI" panose="020B0502040204020203" pitchFamily="34" charset="0"/>
                  <a:cs typeface="Segoe UI" panose="020B0502040204020203" pitchFamily="34" charset="0"/>
                </a:endParaRPr>
              </a:p>
              <a:p>
                <a:pPr>
                  <a:defRPr/>
                </a:pPr>
                <a:endParaRPr lang="en-US"/>
              </a:p>
            </c:rich>
          </c:tx>
          <c:layout>
            <c:manualLayout>
              <c:xMode val="edge"/>
              <c:yMode val="edge"/>
              <c:x val="1.8292679999251008E-2"/>
              <c:y val="0.3573201709934772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alpha val="99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alpha val="99000"/>
                  </a:schemeClr>
                </a:solidFill>
                <a:latin typeface="Segoe UI" panose="020B0502040204020203" pitchFamily="34" charset="0"/>
                <a:ea typeface="+mn-ea"/>
                <a:cs typeface="+mn-cs"/>
              </a:defRPr>
            </a:pPr>
            <a:endParaRPr lang="en-US"/>
          </a:p>
        </c:txPr>
        <c:crossAx val="1098417696"/>
        <c:crosses val="autoZero"/>
        <c:crossBetween val="between"/>
      </c:valAx>
      <c:valAx>
        <c:axId val="109840105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1">
                        <a:alpha val="99000"/>
                      </a:schemeClr>
                    </a:solidFill>
                    <a:latin typeface="+mn-lt"/>
                    <a:ea typeface="+mn-ea"/>
                    <a:cs typeface="+mn-cs"/>
                  </a:defRPr>
                </a:pPr>
                <a:r>
                  <a:rPr lang="en-US" b="1">
                    <a:latin typeface="Segoe UI" panose="020B0502040204020203" pitchFamily="34" charset="0"/>
                    <a:cs typeface="Segoe UI" panose="020B0502040204020203" pitchFamily="34" charset="0"/>
                  </a:rPr>
                  <a:t> </a:t>
                </a:r>
                <a:r>
                  <a:rPr lang="en-US" sz="1000" b="1">
                    <a:latin typeface="Segoe UI" panose="020B0502040204020203" pitchFamily="34" charset="0"/>
                    <a:cs typeface="Segoe UI" panose="020B0502040204020203" pitchFamily="34" charset="0"/>
                  </a:rPr>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alpha val="99000"/>
                    </a:schemeClr>
                  </a:solidFill>
                  <a:latin typeface="+mn-lt"/>
                  <a:ea typeface="+mn-ea"/>
                  <a:cs typeface="+mn-cs"/>
                </a:defRPr>
              </a:pPr>
              <a:endParaRPr lang="en-US"/>
            </a:p>
          </c:txPr>
        </c:title>
        <c:numFmt formatCode="[$₦-46A]#,##0"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alpha val="99000"/>
                  </a:schemeClr>
                </a:solidFill>
                <a:latin typeface="Segoe UI" panose="020B0502040204020203" pitchFamily="34" charset="0"/>
                <a:ea typeface="+mn-ea"/>
                <a:cs typeface="+mn-cs"/>
              </a:defRPr>
            </a:pPr>
            <a:endParaRPr lang="en-US"/>
          </a:p>
        </c:txPr>
        <c:crossAx val="1098400096"/>
        <c:crosses val="max"/>
        <c:crossBetween val="between"/>
        <c:dispUnits>
          <c:builtInUnit val="millions"/>
          <c:dispUnitsLbl>
            <c:tx>
              <c:rich>
                <a:bodyPr rot="-5400000" spcFirstLastPara="1" vertOverflow="ellipsis" vert="horz" wrap="square" anchor="ctr" anchorCtr="1"/>
                <a:lstStyle/>
                <a:p>
                  <a:pPr>
                    <a:defRPr sz="1000" b="0" i="0" u="none" strike="noStrike" kern="1200" baseline="0">
                      <a:solidFill>
                        <a:schemeClr val="bg1">
                          <a:alpha val="99000"/>
                        </a:schemeClr>
                      </a:solidFill>
                      <a:latin typeface="+mn-lt"/>
                      <a:ea typeface="+mn-ea"/>
                      <a:cs typeface="+mn-cs"/>
                    </a:defRPr>
                  </a:pPr>
                  <a:r>
                    <a:rPr lang="en-US" b="1">
                      <a:latin typeface="Segoe UI" panose="020B0502040204020203" pitchFamily="34" charset="0"/>
                      <a:cs typeface="Segoe UI" panose="020B0502040204020203" pitchFamily="34" charset="0"/>
                    </a:rPr>
                    <a:t>Millions</a:t>
                  </a:r>
                </a:p>
              </c:rich>
            </c:tx>
            <c:spPr>
              <a:noFill/>
              <a:ln>
                <a:noFill/>
              </a:ln>
              <a:effectLst/>
            </c:spPr>
            <c:txPr>
              <a:bodyPr rot="-5400000" spcFirstLastPara="1" vertOverflow="ellipsis" vert="horz" wrap="square" anchor="ctr" anchorCtr="1"/>
              <a:lstStyle/>
              <a:p>
                <a:pPr>
                  <a:defRPr sz="1000" b="0" i="0" u="none" strike="noStrike" kern="1200" baseline="0">
                    <a:solidFill>
                      <a:schemeClr val="bg1">
                        <a:alpha val="99000"/>
                      </a:schemeClr>
                    </a:solidFill>
                    <a:latin typeface="+mn-lt"/>
                    <a:ea typeface="+mn-ea"/>
                    <a:cs typeface="+mn-cs"/>
                  </a:defRPr>
                </a:pPr>
                <a:endParaRPr lang="en-US"/>
              </a:p>
            </c:txPr>
          </c:dispUnitsLbl>
        </c:dispUnits>
      </c:valAx>
      <c:catAx>
        <c:axId val="1098400096"/>
        <c:scaling>
          <c:orientation val="minMax"/>
        </c:scaling>
        <c:delete val="1"/>
        <c:axPos val="b"/>
        <c:numFmt formatCode="General" sourceLinked="1"/>
        <c:majorTickMark val="out"/>
        <c:minorTickMark val="none"/>
        <c:tickLblPos val="nextTo"/>
        <c:crossAx val="1098401056"/>
        <c:crosses val="autoZero"/>
        <c:auto val="1"/>
        <c:lblAlgn val="ctr"/>
        <c:lblOffset val="100"/>
        <c:noMultiLvlLbl val="0"/>
      </c:cat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bg1">
                  <a:alpha val="99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alpha val="99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NW.xlsx]KPIs!PivotTable9</c:name>
    <c:fmtId val="20"/>
  </c:pivotSource>
  <c:chart>
    <c:title>
      <c:tx>
        <c:rich>
          <a:bodyPr rot="0" spcFirstLastPara="1" vertOverflow="ellipsis" vert="horz" wrap="square" anchor="ctr" anchorCtr="1"/>
          <a:lstStyle/>
          <a:p>
            <a:pPr algn="l">
              <a:defRPr sz="1500" b="1" i="0" u="none" strike="noStrike" kern="1200" cap="all" spc="100" normalizeH="0" baseline="0">
                <a:solidFill>
                  <a:schemeClr val="lt1"/>
                </a:solidFill>
                <a:latin typeface="+mn-lt"/>
                <a:ea typeface="+mn-ea"/>
                <a:cs typeface="+mn-cs"/>
              </a:defRPr>
            </a:pPr>
            <a:r>
              <a:rPr lang="en-US" sz="1400">
                <a:latin typeface="Segoe UI" panose="020B0502040204020203" pitchFamily="34" charset="0"/>
                <a:cs typeface="Segoe UI" panose="020B0502040204020203" pitchFamily="34" charset="0"/>
              </a:rPr>
              <a:t>REVENUE BY QUARTER</a:t>
            </a:r>
          </a:p>
        </c:rich>
      </c:tx>
      <c:layout>
        <c:manualLayout>
          <c:xMode val="edge"/>
          <c:yMode val="edge"/>
          <c:x val="4.8483698573822863E-2"/>
          <c:y val="3.1746031746031744E-2"/>
        </c:manualLayout>
      </c:layout>
      <c:overlay val="0"/>
      <c:spPr>
        <a:noFill/>
        <a:ln>
          <a:noFill/>
        </a:ln>
        <a:effectLst/>
      </c:spPr>
      <c:txPr>
        <a:bodyPr rot="0" spcFirstLastPara="1" vertOverflow="ellipsis" vert="horz" wrap="square" anchor="ctr" anchorCtr="1"/>
        <a:lstStyle/>
        <a:p>
          <a:pPr algn="l">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41337229753493"/>
          <c:y val="0.23550707203266255"/>
          <c:w val="0.49340395594880537"/>
          <c:h val="0.53774387576552929"/>
        </c:manualLayout>
      </c:layout>
      <c:lineChart>
        <c:grouping val="standard"/>
        <c:varyColors val="0"/>
        <c:ser>
          <c:idx val="0"/>
          <c:order val="0"/>
          <c:tx>
            <c:strRef>
              <c:f>KPIs!$D$28</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KPIs!$C$29:$C$31</c:f>
              <c:strCache>
                <c:ptCount val="2"/>
                <c:pt idx="0">
                  <c:v>Qtr1</c:v>
                </c:pt>
                <c:pt idx="1">
                  <c:v>Qtr2</c:v>
                </c:pt>
              </c:strCache>
            </c:strRef>
          </c:cat>
          <c:val>
            <c:numRef>
              <c:f>KPIs!$D$29:$D$31</c:f>
              <c:numCache>
                <c:formatCode>#,##0,"k"</c:formatCode>
                <c:ptCount val="2"/>
                <c:pt idx="0">
                  <c:v>126900000</c:v>
                </c:pt>
                <c:pt idx="1">
                  <c:v>90675000</c:v>
                </c:pt>
              </c:numCache>
            </c:numRef>
          </c:val>
          <c:smooth val="0"/>
          <c:extLst>
            <c:ext xmlns:c16="http://schemas.microsoft.com/office/drawing/2014/chart" uri="{C3380CC4-5D6E-409C-BE32-E72D297353CC}">
              <c16:uniqueId val="{00000000-A5EE-43BB-A327-64DD0CA9CDBE}"/>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398155280"/>
        <c:axId val="1398153840"/>
      </c:lineChart>
      <c:catAx>
        <c:axId val="139815528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sz="1000" b="1">
                    <a:latin typeface="Segoe UI" panose="020B0502040204020203" pitchFamily="34" charset="0"/>
                    <a:cs typeface="Segoe UI" panose="020B0502040204020203" pitchFamily="34" charset="0"/>
                  </a:rPr>
                  <a:t>Quarterly</a:t>
                </a:r>
              </a:p>
            </c:rich>
          </c:tx>
          <c:layout>
            <c:manualLayout>
              <c:xMode val="edge"/>
              <c:yMode val="edge"/>
              <c:x val="0.44053312931953376"/>
              <c:y val="0.8818261353694425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1000" b="1" i="0" u="none" strike="noStrike" kern="1200" spc="100" baseline="0">
                <a:solidFill>
                  <a:schemeClr val="lt1"/>
                </a:solidFill>
                <a:latin typeface="Segoe UI" panose="020B0502040204020203" pitchFamily="34" charset="0"/>
                <a:ea typeface="+mn-ea"/>
                <a:cs typeface="+mn-cs"/>
              </a:defRPr>
            </a:pPr>
            <a:endParaRPr lang="en-US"/>
          </a:p>
        </c:txPr>
        <c:crossAx val="1398153840"/>
        <c:crosses val="autoZero"/>
        <c:auto val="1"/>
        <c:lblAlgn val="ctr"/>
        <c:lblOffset val="100"/>
        <c:noMultiLvlLbl val="0"/>
      </c:catAx>
      <c:valAx>
        <c:axId val="1398153840"/>
        <c:scaling>
          <c:orientation val="minMax"/>
        </c:scaling>
        <c:delete val="0"/>
        <c:axPos val="l"/>
        <c:title>
          <c:tx>
            <c:rich>
              <a:bodyPr rot="-5400000" spcFirstLastPara="1" vertOverflow="ellipsis" vert="horz" wrap="square" anchor="t" anchorCtr="1"/>
              <a:lstStyle/>
              <a:p>
                <a:pPr>
                  <a:defRPr sz="900" b="1" i="0" u="none" strike="noStrike" kern="1200" baseline="0">
                    <a:solidFill>
                      <a:schemeClr val="lt1"/>
                    </a:solidFill>
                    <a:latin typeface="+mn-lt"/>
                    <a:ea typeface="+mn-ea"/>
                    <a:cs typeface="+mn-cs"/>
                  </a:defRPr>
                </a:pPr>
                <a:r>
                  <a:rPr lang="en-US" sz="1000" b="1">
                    <a:latin typeface="Segoe UI" panose="020B0502040204020203" pitchFamily="34" charset="0"/>
                    <a:cs typeface="Segoe UI" panose="020B0502040204020203" pitchFamily="34" charset="0"/>
                  </a:rPr>
                  <a:t>Revenue</a:t>
                </a:r>
                <a:r>
                  <a:rPr lang="en-US"/>
                  <a:t> </a:t>
                </a:r>
              </a:p>
            </c:rich>
          </c:tx>
          <c:layout>
            <c:manualLayout>
              <c:xMode val="edge"/>
              <c:yMode val="edge"/>
              <c:x val="3.2533279192118923E-2"/>
              <c:y val="0.37665416822897135"/>
            </c:manualLayout>
          </c:layout>
          <c:overlay val="0"/>
          <c:spPr>
            <a:noFill/>
            <a:ln>
              <a:noFill/>
            </a:ln>
            <a:effectLst/>
          </c:spPr>
          <c:txPr>
            <a:bodyPr rot="-5400000" spcFirstLastPara="1" vertOverflow="ellipsis" vert="horz" wrap="square" anchor="t" anchorCtr="1"/>
            <a:lstStyle/>
            <a:p>
              <a:pPr>
                <a:defRPr sz="900" b="1" i="0" u="none" strike="noStrike" kern="1200" baseline="0">
                  <a:solidFill>
                    <a:schemeClr val="lt1"/>
                  </a:solidFill>
                  <a:latin typeface="+mn-lt"/>
                  <a:ea typeface="+mn-ea"/>
                  <a:cs typeface="+mn-cs"/>
                </a:defRPr>
              </a:pPr>
              <a:endParaRPr lang="en-US"/>
            </a:p>
          </c:txPr>
        </c:title>
        <c:numFmt formatCode="[$₦-46A]#,##0" sourceLinked="0"/>
        <c:majorTickMark val="none"/>
        <c:minorTickMark val="none"/>
        <c:tickLblPos val="nextTo"/>
        <c:spPr>
          <a:solidFill>
            <a:srgbClr val="3FBECF"/>
          </a:solidFill>
          <a:ln>
            <a:noFill/>
          </a:ln>
          <a:effectLst/>
        </c:spPr>
        <c:txPr>
          <a:bodyPr rot="-60000000" spcFirstLastPara="1" vertOverflow="ellipsis" vert="horz" wrap="square" anchor="ctr" anchorCtr="1"/>
          <a:lstStyle/>
          <a:p>
            <a:pPr>
              <a:defRPr sz="1000" b="1" i="0" u="none" strike="noStrike" kern="1200" baseline="0">
                <a:solidFill>
                  <a:schemeClr val="lt1"/>
                </a:solidFill>
                <a:latin typeface="Segoe UI" panose="020B0502040204020203" pitchFamily="34" charset="0"/>
                <a:ea typeface="+mn-ea"/>
                <a:cs typeface="+mn-cs"/>
              </a:defRPr>
            </a:pPr>
            <a:endParaRPr lang="en-US"/>
          </a:p>
        </c:txPr>
        <c:crossAx val="1398155280"/>
        <c:crosses val="autoZero"/>
        <c:crossBetween val="between"/>
        <c:dispUnits>
          <c:builtInUnit val="millions"/>
          <c:dispUnitsLbl>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b="1">
                      <a:latin typeface="Segoe UI" panose="020B0502040204020203" pitchFamily="34" charset="0"/>
                      <a:cs typeface="Segoe UI" panose="020B0502040204020203" pitchFamily="34" charset="0"/>
                    </a:rPr>
                    <a:t>Millions</a:t>
                  </a:r>
                </a:p>
              </c:rich>
            </c:tx>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NW.xlsx]Pivot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bg1">
                    <a:alpha val="99000"/>
                  </a:schemeClr>
                </a:solidFill>
                <a:latin typeface="+mn-lt"/>
                <a:ea typeface="+mn-ea"/>
                <a:cs typeface="+mn-cs"/>
              </a:defRPr>
            </a:pPr>
            <a:r>
              <a:rPr lang="en-US" sz="1400" b="1">
                <a:latin typeface="Segoe UI" panose="020B0502040204020203" pitchFamily="34" charset="0"/>
                <a:cs typeface="Segoe UI" panose="020B0502040204020203" pitchFamily="34" charset="0"/>
              </a:rPr>
              <a:t> UNITS SOLD &amp; REVENUE BY CUSTOMER</a:t>
            </a:r>
          </a:p>
        </c:rich>
      </c:tx>
      <c:layout>
        <c:manualLayout>
          <c:xMode val="edge"/>
          <c:yMode val="edge"/>
          <c:x val="3.611291912923003E-2"/>
          <c:y val="3.71287128712871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alpha val="99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7FFFD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99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alpha val="99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c:f>
              <c:strCache>
                <c:ptCount val="1"/>
                <c:pt idx="0">
                  <c:v>P Units Sold</c:v>
                </c:pt>
              </c:strCache>
            </c:strRef>
          </c:tx>
          <c:spPr>
            <a:solidFill>
              <a:srgbClr val="7FFFD4"/>
            </a:solidFill>
            <a:ln>
              <a:noFill/>
            </a:ln>
            <a:effectLst/>
          </c:spPr>
          <c:invertIfNegative val="0"/>
          <c:cat>
            <c:strRef>
              <c:f>'Pivot table'!$J$4:$J$18</c:f>
              <c:strCache>
                <c:ptCount val="14"/>
                <c:pt idx="0">
                  <c:v>Femi Tech</c:v>
                </c:pt>
                <c:pt idx="1">
                  <c:v>Musa Enterprises</c:v>
                </c:pt>
                <c:pt idx="2">
                  <c:v>Omega Wholesale</c:v>
                </c:pt>
                <c:pt idx="3">
                  <c:v>Emeka Traders</c:v>
                </c:pt>
                <c:pt idx="4">
                  <c:v>Chika Mart</c:v>
                </c:pt>
                <c:pt idx="5">
                  <c:v>Bright Solutions</c:v>
                </c:pt>
                <c:pt idx="6">
                  <c:v>Jide Superstores</c:v>
                </c:pt>
                <c:pt idx="7">
                  <c:v>Maryam Ltd</c:v>
                </c:pt>
                <c:pt idx="8">
                  <c:v>Tola Ventures</c:v>
                </c:pt>
                <c:pt idx="9">
                  <c:v>Alpha Retailers</c:v>
                </c:pt>
                <c:pt idx="10">
                  <c:v>Zainab Global</c:v>
                </c:pt>
                <c:pt idx="11">
                  <c:v>Kelvin Tech</c:v>
                </c:pt>
                <c:pt idx="12">
                  <c:v>Tope &amp; Sons </c:v>
                </c:pt>
                <c:pt idx="13">
                  <c:v>Adewale Store</c:v>
                </c:pt>
              </c:strCache>
            </c:strRef>
          </c:cat>
          <c:val>
            <c:numRef>
              <c:f>'Pivot table'!$K$4:$K$18</c:f>
              <c:numCache>
                <c:formatCode>General</c:formatCode>
                <c:ptCount val="14"/>
                <c:pt idx="0">
                  <c:v>162</c:v>
                </c:pt>
                <c:pt idx="1">
                  <c:v>133</c:v>
                </c:pt>
                <c:pt idx="2">
                  <c:v>112</c:v>
                </c:pt>
                <c:pt idx="3">
                  <c:v>93</c:v>
                </c:pt>
                <c:pt idx="4">
                  <c:v>75</c:v>
                </c:pt>
                <c:pt idx="5">
                  <c:v>80</c:v>
                </c:pt>
                <c:pt idx="6">
                  <c:v>73</c:v>
                </c:pt>
                <c:pt idx="7">
                  <c:v>76</c:v>
                </c:pt>
                <c:pt idx="8">
                  <c:v>66</c:v>
                </c:pt>
                <c:pt idx="9">
                  <c:v>83</c:v>
                </c:pt>
                <c:pt idx="10">
                  <c:v>47</c:v>
                </c:pt>
                <c:pt idx="11">
                  <c:v>82</c:v>
                </c:pt>
                <c:pt idx="12">
                  <c:v>44</c:v>
                </c:pt>
                <c:pt idx="13">
                  <c:v>15</c:v>
                </c:pt>
              </c:numCache>
            </c:numRef>
          </c:val>
          <c:extLst>
            <c:ext xmlns:c16="http://schemas.microsoft.com/office/drawing/2014/chart" uri="{C3380CC4-5D6E-409C-BE32-E72D297353CC}">
              <c16:uniqueId val="{00000000-33C3-4228-BD8C-3ECAE2241B7A}"/>
            </c:ext>
          </c:extLst>
        </c:ser>
        <c:dLbls>
          <c:showLegendKey val="0"/>
          <c:showVal val="0"/>
          <c:showCatName val="0"/>
          <c:showSerName val="0"/>
          <c:showPercent val="0"/>
          <c:showBubbleSize val="0"/>
        </c:dLbls>
        <c:gapWidth val="219"/>
        <c:overlap val="-27"/>
        <c:axId val="1098417696"/>
        <c:axId val="1098418656"/>
      </c:barChart>
      <c:lineChart>
        <c:grouping val="standard"/>
        <c:varyColors val="0"/>
        <c:ser>
          <c:idx val="1"/>
          <c:order val="1"/>
          <c:tx>
            <c:strRef>
              <c:f>'Pivot table'!$L$3</c:f>
              <c:strCache>
                <c:ptCount val="1"/>
                <c:pt idx="0">
                  <c:v>C Revenue</c:v>
                </c:pt>
              </c:strCache>
            </c:strRef>
          </c:tx>
          <c:spPr>
            <a:ln w="28575" cap="rnd">
              <a:solidFill>
                <a:schemeClr val="accent2"/>
              </a:solidFill>
              <a:round/>
            </a:ln>
            <a:effectLst/>
          </c:spPr>
          <c:marker>
            <c:symbol val="none"/>
          </c:marker>
          <c:cat>
            <c:strRef>
              <c:f>'Pivot table'!$J$4:$J$18</c:f>
              <c:strCache>
                <c:ptCount val="14"/>
                <c:pt idx="0">
                  <c:v>Femi Tech</c:v>
                </c:pt>
                <c:pt idx="1">
                  <c:v>Musa Enterprises</c:v>
                </c:pt>
                <c:pt idx="2">
                  <c:v>Omega Wholesale</c:v>
                </c:pt>
                <c:pt idx="3">
                  <c:v>Emeka Traders</c:v>
                </c:pt>
                <c:pt idx="4">
                  <c:v>Chika Mart</c:v>
                </c:pt>
                <c:pt idx="5">
                  <c:v>Bright Solutions</c:v>
                </c:pt>
                <c:pt idx="6">
                  <c:v>Jide Superstores</c:v>
                </c:pt>
                <c:pt idx="7">
                  <c:v>Maryam Ltd</c:v>
                </c:pt>
                <c:pt idx="8">
                  <c:v>Tola Ventures</c:v>
                </c:pt>
                <c:pt idx="9">
                  <c:v>Alpha Retailers</c:v>
                </c:pt>
                <c:pt idx="10">
                  <c:v>Zainab Global</c:v>
                </c:pt>
                <c:pt idx="11">
                  <c:v>Kelvin Tech</c:v>
                </c:pt>
                <c:pt idx="12">
                  <c:v>Tope &amp; Sons </c:v>
                </c:pt>
                <c:pt idx="13">
                  <c:v>Adewale Store</c:v>
                </c:pt>
              </c:strCache>
            </c:strRef>
          </c:cat>
          <c:val>
            <c:numRef>
              <c:f>'Pivot table'!$L$4:$L$18</c:f>
              <c:numCache>
                <c:formatCode>_-[$₦-46A]* #,##0_-;\-[$₦-46A]* #,##0_-;_-[$₦-46A]* "-"_-;_-@_-</c:formatCode>
                <c:ptCount val="14"/>
                <c:pt idx="0">
                  <c:v>31180000</c:v>
                </c:pt>
                <c:pt idx="1">
                  <c:v>27620000</c:v>
                </c:pt>
                <c:pt idx="2">
                  <c:v>25700000</c:v>
                </c:pt>
                <c:pt idx="3">
                  <c:v>23635000</c:v>
                </c:pt>
                <c:pt idx="4">
                  <c:v>15300000</c:v>
                </c:pt>
                <c:pt idx="5">
                  <c:v>13715000</c:v>
                </c:pt>
                <c:pt idx="6">
                  <c:v>12740000</c:v>
                </c:pt>
                <c:pt idx="7">
                  <c:v>12435000</c:v>
                </c:pt>
                <c:pt idx="8">
                  <c:v>12060000</c:v>
                </c:pt>
                <c:pt idx="9">
                  <c:v>11480000</c:v>
                </c:pt>
                <c:pt idx="10">
                  <c:v>11360000</c:v>
                </c:pt>
                <c:pt idx="11">
                  <c:v>10125000</c:v>
                </c:pt>
                <c:pt idx="12">
                  <c:v>8030000</c:v>
                </c:pt>
                <c:pt idx="13">
                  <c:v>2195000</c:v>
                </c:pt>
              </c:numCache>
            </c:numRef>
          </c:val>
          <c:smooth val="0"/>
          <c:extLst>
            <c:ext xmlns:c16="http://schemas.microsoft.com/office/drawing/2014/chart" uri="{C3380CC4-5D6E-409C-BE32-E72D297353CC}">
              <c16:uniqueId val="{00000001-33C3-4228-BD8C-3ECAE2241B7A}"/>
            </c:ext>
          </c:extLst>
        </c:ser>
        <c:dLbls>
          <c:showLegendKey val="0"/>
          <c:showVal val="0"/>
          <c:showCatName val="0"/>
          <c:showSerName val="0"/>
          <c:showPercent val="0"/>
          <c:showBubbleSize val="0"/>
        </c:dLbls>
        <c:marker val="1"/>
        <c:smooth val="0"/>
        <c:axId val="1098400096"/>
        <c:axId val="1098401056"/>
      </c:lineChart>
      <c:catAx>
        <c:axId val="109841769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bg1">
                        <a:alpha val="99000"/>
                      </a:schemeClr>
                    </a:solidFill>
                    <a:latin typeface="Segoe UI" panose="020B0502040204020203" pitchFamily="34" charset="0"/>
                    <a:ea typeface="+mn-ea"/>
                    <a:cs typeface="+mn-cs"/>
                  </a:defRPr>
                </a:pPr>
                <a:r>
                  <a:rPr lang="en-US" b="1" i="0" baseline="0">
                    <a:latin typeface="Segoe UI" panose="020B0502040204020203" pitchFamily="34" charset="0"/>
                  </a:rPr>
                  <a:t> Customer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bg1">
                      <a:alpha val="99000"/>
                    </a:schemeClr>
                  </a:solidFill>
                  <a:latin typeface="Segoe UI" panose="020B0502040204020203" pitchFamily="34" charset="0"/>
                  <a:ea typeface="+mn-ea"/>
                  <a:cs typeface="+mn-cs"/>
                </a:defRPr>
              </a:pPr>
              <a:endParaRPr lang="en-US"/>
            </a:p>
          </c:txPr>
        </c:title>
        <c:numFmt formatCode="General" sourceLinked="1"/>
        <c:majorTickMark val="none"/>
        <c:minorTickMark val="none"/>
        <c:tickLblPos val="nextTo"/>
        <c:spPr>
          <a:noFill/>
          <a:ln w="9525" cap="flat" cmpd="sng" algn="ctr">
            <a:noFill/>
            <a:round/>
          </a:ln>
          <a:effectLst/>
        </c:spPr>
        <c:txPr>
          <a:bodyPr rot="2700000" spcFirstLastPara="1" vertOverflow="ellipsis" wrap="square" anchor="ctr" anchorCtr="1"/>
          <a:lstStyle/>
          <a:p>
            <a:pPr>
              <a:defRPr sz="1000" b="1" i="0" u="none" strike="noStrike" kern="1200" baseline="0">
                <a:solidFill>
                  <a:schemeClr val="bg1">
                    <a:alpha val="99000"/>
                  </a:schemeClr>
                </a:solidFill>
                <a:latin typeface="Segoe UI" panose="020B0502040204020203" pitchFamily="34" charset="0"/>
                <a:ea typeface="+mn-ea"/>
                <a:cs typeface="+mn-cs"/>
              </a:defRPr>
            </a:pPr>
            <a:endParaRPr lang="en-US"/>
          </a:p>
        </c:txPr>
        <c:crossAx val="1098418656"/>
        <c:crosses val="autoZero"/>
        <c:auto val="0"/>
        <c:lblAlgn val="ctr"/>
        <c:lblOffset val="100"/>
        <c:noMultiLvlLbl val="0"/>
      </c:catAx>
      <c:valAx>
        <c:axId val="109841865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alpha val="99000"/>
                      </a:schemeClr>
                    </a:solidFill>
                    <a:latin typeface="+mn-lt"/>
                    <a:ea typeface="+mn-ea"/>
                    <a:cs typeface="+mn-cs"/>
                  </a:defRPr>
                </a:pPr>
                <a:r>
                  <a:rPr lang="en-US" b="1">
                    <a:latin typeface="Segoe UI" panose="020B0502040204020203" pitchFamily="34" charset="0"/>
                    <a:cs typeface="Segoe UI" panose="020B0502040204020203" pitchFamily="34" charset="0"/>
                  </a:rPr>
                  <a:t> Units</a:t>
                </a:r>
                <a:r>
                  <a:rPr lang="en-US" b="1" baseline="0">
                    <a:latin typeface="Segoe UI" panose="020B0502040204020203" pitchFamily="34" charset="0"/>
                    <a:cs typeface="Segoe UI" panose="020B0502040204020203" pitchFamily="34" charset="0"/>
                  </a:rPr>
                  <a:t> Sold</a:t>
                </a:r>
                <a:endParaRPr lang="en-US" b="1">
                  <a:latin typeface="Segoe UI" panose="020B0502040204020203" pitchFamily="34" charset="0"/>
                  <a:cs typeface="Segoe UI" panose="020B0502040204020203" pitchFamily="34" charset="0"/>
                </a:endParaRPr>
              </a:p>
              <a:p>
                <a:pPr>
                  <a:defRPr/>
                </a:pPr>
                <a:endParaRPr lang="en-US"/>
              </a:p>
            </c:rich>
          </c:tx>
          <c:layout>
            <c:manualLayout>
              <c:xMode val="edge"/>
              <c:yMode val="edge"/>
              <c:x val="1.8292679999251008E-2"/>
              <c:y val="0.3573201709934772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alpha val="99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alpha val="99000"/>
                  </a:schemeClr>
                </a:solidFill>
                <a:latin typeface="Segoe UI" panose="020B0502040204020203" pitchFamily="34" charset="0"/>
                <a:ea typeface="+mn-ea"/>
                <a:cs typeface="+mn-cs"/>
              </a:defRPr>
            </a:pPr>
            <a:endParaRPr lang="en-US"/>
          </a:p>
        </c:txPr>
        <c:crossAx val="1098417696"/>
        <c:crosses val="autoZero"/>
        <c:crossBetween val="between"/>
      </c:valAx>
      <c:valAx>
        <c:axId val="1098401056"/>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1">
                        <a:alpha val="99000"/>
                      </a:schemeClr>
                    </a:solidFill>
                    <a:latin typeface="+mn-lt"/>
                    <a:ea typeface="+mn-ea"/>
                    <a:cs typeface="+mn-cs"/>
                  </a:defRPr>
                </a:pPr>
                <a:r>
                  <a:rPr lang="en-US" b="1">
                    <a:latin typeface="Segoe UI" panose="020B0502040204020203" pitchFamily="34" charset="0"/>
                    <a:cs typeface="Segoe UI" panose="020B0502040204020203" pitchFamily="34" charset="0"/>
                  </a:rPr>
                  <a:t> </a:t>
                </a:r>
                <a:r>
                  <a:rPr lang="en-US" sz="1000" b="1">
                    <a:latin typeface="Segoe UI" panose="020B0502040204020203" pitchFamily="34" charset="0"/>
                    <a:cs typeface="Segoe UI" panose="020B0502040204020203" pitchFamily="34" charset="0"/>
                  </a:rPr>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alpha val="99000"/>
                    </a:schemeClr>
                  </a:solidFill>
                  <a:latin typeface="+mn-lt"/>
                  <a:ea typeface="+mn-ea"/>
                  <a:cs typeface="+mn-cs"/>
                </a:defRPr>
              </a:pPr>
              <a:endParaRPr lang="en-US"/>
            </a:p>
          </c:txPr>
        </c:title>
        <c:numFmt formatCode="[$₦-46A]#,##0"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alpha val="99000"/>
                  </a:schemeClr>
                </a:solidFill>
                <a:latin typeface="Segoe UI" panose="020B0502040204020203" pitchFamily="34" charset="0"/>
                <a:ea typeface="+mn-ea"/>
                <a:cs typeface="+mn-cs"/>
              </a:defRPr>
            </a:pPr>
            <a:endParaRPr lang="en-US"/>
          </a:p>
        </c:txPr>
        <c:crossAx val="1098400096"/>
        <c:crosses val="max"/>
        <c:crossBetween val="between"/>
        <c:dispUnits>
          <c:builtInUnit val="millions"/>
          <c:dispUnitsLbl>
            <c:tx>
              <c:rich>
                <a:bodyPr rot="-5400000" spcFirstLastPara="1" vertOverflow="ellipsis" vert="horz" wrap="square" anchor="ctr" anchorCtr="1"/>
                <a:lstStyle/>
                <a:p>
                  <a:pPr>
                    <a:defRPr sz="1000" b="0" i="0" u="none" strike="noStrike" kern="1200" baseline="0">
                      <a:solidFill>
                        <a:schemeClr val="bg1">
                          <a:alpha val="99000"/>
                        </a:schemeClr>
                      </a:solidFill>
                      <a:latin typeface="+mn-lt"/>
                      <a:ea typeface="+mn-ea"/>
                      <a:cs typeface="+mn-cs"/>
                    </a:defRPr>
                  </a:pPr>
                  <a:r>
                    <a:rPr lang="en-US" b="1">
                      <a:latin typeface="Segoe UI" panose="020B0502040204020203" pitchFamily="34" charset="0"/>
                      <a:cs typeface="Segoe UI" panose="020B0502040204020203" pitchFamily="34" charset="0"/>
                    </a:rPr>
                    <a:t>Millions</a:t>
                  </a:r>
                </a:p>
              </c:rich>
            </c:tx>
            <c:spPr>
              <a:noFill/>
              <a:ln>
                <a:noFill/>
              </a:ln>
              <a:effectLst/>
            </c:spPr>
            <c:txPr>
              <a:bodyPr rot="-5400000" spcFirstLastPara="1" vertOverflow="ellipsis" vert="horz" wrap="square" anchor="ctr" anchorCtr="1"/>
              <a:lstStyle/>
              <a:p>
                <a:pPr>
                  <a:defRPr sz="1000" b="0" i="0" u="none" strike="noStrike" kern="1200" baseline="0">
                    <a:solidFill>
                      <a:schemeClr val="bg1">
                        <a:alpha val="99000"/>
                      </a:schemeClr>
                    </a:solidFill>
                    <a:latin typeface="+mn-lt"/>
                    <a:ea typeface="+mn-ea"/>
                    <a:cs typeface="+mn-cs"/>
                  </a:defRPr>
                </a:pPr>
                <a:endParaRPr lang="en-US"/>
              </a:p>
            </c:txPr>
          </c:dispUnitsLbl>
        </c:dispUnits>
      </c:valAx>
      <c:catAx>
        <c:axId val="1098400096"/>
        <c:scaling>
          <c:orientation val="minMax"/>
        </c:scaling>
        <c:delete val="1"/>
        <c:axPos val="b"/>
        <c:numFmt formatCode="General" sourceLinked="1"/>
        <c:majorTickMark val="out"/>
        <c:minorTickMark val="none"/>
        <c:tickLblPos val="nextTo"/>
        <c:crossAx val="1098401056"/>
        <c:crosses val="autoZero"/>
        <c:auto val="1"/>
        <c:lblAlgn val="ctr"/>
        <c:lblOffset val="100"/>
        <c:noMultiLvlLbl val="0"/>
      </c:catAx>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bg1">
                  <a:alpha val="99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alpha val="99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NW.xlsx]KPIs!PivotTable6</c:name>
    <c:fmtId val="9"/>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t>TOP 3 SALES REP BY REVENUE</a:t>
            </a:r>
          </a:p>
        </c:rich>
      </c:tx>
      <c:layout>
        <c:manualLayout>
          <c:xMode val="edge"/>
          <c:yMode val="edge"/>
          <c:x val="3.1621351452776864E-2"/>
          <c:y val="4.064595415103738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KPIs!$D$84</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962-4E74-9CF2-0B42365D6914}"/>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962-4E74-9CF2-0B42365D6914}"/>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962-4E74-9CF2-0B42365D6914}"/>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KPIs!$C$85:$C$88</c:f>
              <c:strCache>
                <c:ptCount val="3"/>
                <c:pt idx="0">
                  <c:v>Chinedu Nwosu</c:v>
                </c:pt>
                <c:pt idx="1">
                  <c:v>Fola Balogun</c:v>
                </c:pt>
                <c:pt idx="2">
                  <c:v>Grace Amos</c:v>
                </c:pt>
              </c:strCache>
            </c:strRef>
          </c:cat>
          <c:val>
            <c:numRef>
              <c:f>KPIs!$D$85:$D$88</c:f>
              <c:numCache>
                <c:formatCode>\ #,##0,"k"</c:formatCode>
                <c:ptCount val="3"/>
                <c:pt idx="0">
                  <c:v>41520000</c:v>
                </c:pt>
                <c:pt idx="1">
                  <c:v>34020000</c:v>
                </c:pt>
                <c:pt idx="2">
                  <c:v>32080000</c:v>
                </c:pt>
              </c:numCache>
            </c:numRef>
          </c:val>
          <c:extLst>
            <c:ext xmlns:c16="http://schemas.microsoft.com/office/drawing/2014/chart" uri="{C3380CC4-5D6E-409C-BE32-E72D297353CC}">
              <c16:uniqueId val="{00000006-1962-4E74-9CF2-0B42365D691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NW.xlsx]KPIs!PivotTable2</c:name>
    <c:fmtId val="30"/>
  </c:pivotSource>
  <c:chart>
    <c:title>
      <c:tx>
        <c:rich>
          <a:bodyPr rot="0" spcFirstLastPara="1" vertOverflow="ellipsis" vert="horz" wrap="square" anchor="ctr" anchorCtr="1"/>
          <a:lstStyle/>
          <a:p>
            <a:pPr>
              <a:defRPr sz="1400" b="1" i="0" u="none" strike="noStrike" kern="1200" spc="0" baseline="0">
                <a:solidFill>
                  <a:schemeClr val="bg1"/>
                </a:solidFill>
                <a:latin typeface="SegEO UI"/>
                <a:ea typeface="+mn-ea"/>
                <a:cs typeface="+mn-cs"/>
              </a:defRPr>
            </a:pPr>
            <a:r>
              <a:rPr lang="en-US" sz="1400" b="1" i="0" baseline="0">
                <a:latin typeface="SegEO UI"/>
              </a:rPr>
              <a:t>REVENUE BY PRODUCT</a:t>
            </a:r>
          </a:p>
        </c:rich>
      </c:tx>
      <c:layout>
        <c:manualLayout>
          <c:xMode val="edge"/>
          <c:yMode val="edge"/>
          <c:x val="1.8555064095430111E-2"/>
          <c:y val="1.625930909458693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SegEO UI"/>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KPIs!$D$46</c:f>
              <c:strCache>
                <c:ptCount val="1"/>
                <c:pt idx="0">
                  <c:v>Total</c:v>
                </c:pt>
              </c:strCache>
            </c:strRef>
          </c:tx>
          <c:spPr>
            <a:solidFill>
              <a:schemeClr val="accent1"/>
            </a:solidFill>
            <a:ln>
              <a:noFill/>
            </a:ln>
            <a:effectLst/>
          </c:spPr>
          <c:invertIfNegative val="0"/>
          <c:cat>
            <c:strRef>
              <c:f>KPIs!$C$47:$C$54</c:f>
              <c:strCache>
                <c:ptCount val="7"/>
                <c:pt idx="0">
                  <c:v>Tv 43Q</c:v>
                </c:pt>
                <c:pt idx="1">
                  <c:v>Laptop A15</c:v>
                </c:pt>
                <c:pt idx="2">
                  <c:v>Tablet T8</c:v>
                </c:pt>
                <c:pt idx="3">
                  <c:v>Camera C100</c:v>
                </c:pt>
                <c:pt idx="4">
                  <c:v>Phone X12</c:v>
                </c:pt>
                <c:pt idx="5">
                  <c:v>Monitor M24</c:v>
                </c:pt>
                <c:pt idx="6">
                  <c:v>Speaker S10</c:v>
                </c:pt>
              </c:strCache>
            </c:strRef>
          </c:cat>
          <c:val>
            <c:numRef>
              <c:f>KPIs!$D$47:$D$54</c:f>
              <c:numCache>
                <c:formatCode>#,##0,\ "K"</c:formatCode>
                <c:ptCount val="7"/>
                <c:pt idx="0">
                  <c:v>75250000</c:v>
                </c:pt>
                <c:pt idx="1">
                  <c:v>47750000</c:v>
                </c:pt>
                <c:pt idx="2">
                  <c:v>33900000</c:v>
                </c:pt>
                <c:pt idx="3">
                  <c:v>25550000</c:v>
                </c:pt>
                <c:pt idx="4">
                  <c:v>14760000</c:v>
                </c:pt>
                <c:pt idx="5">
                  <c:v>11440000</c:v>
                </c:pt>
                <c:pt idx="6">
                  <c:v>8925000</c:v>
                </c:pt>
              </c:numCache>
            </c:numRef>
          </c:val>
          <c:extLst>
            <c:ext xmlns:c16="http://schemas.microsoft.com/office/drawing/2014/chart" uri="{C3380CC4-5D6E-409C-BE32-E72D297353CC}">
              <c16:uniqueId val="{00000000-F13E-4DC4-B211-8B76EAE261F7}"/>
            </c:ext>
          </c:extLst>
        </c:ser>
        <c:dLbls>
          <c:showLegendKey val="0"/>
          <c:showVal val="0"/>
          <c:showCatName val="0"/>
          <c:showSerName val="0"/>
          <c:showPercent val="0"/>
          <c:showBubbleSize val="0"/>
        </c:dLbls>
        <c:gapWidth val="219"/>
        <c:overlap val="-27"/>
        <c:axId val="1398159600"/>
        <c:axId val="1398044880"/>
      </c:barChart>
      <c:catAx>
        <c:axId val="1398159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b="1">
                    <a:latin typeface="Segoe UI" panose="020B0502040204020203" pitchFamily="34" charset="0"/>
                    <a:cs typeface="Segoe UI" panose="020B0502040204020203" pitchFamily="34" charset="0"/>
                  </a:rPr>
                  <a:t>Product</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8044880"/>
        <c:crossesAt val="0"/>
        <c:auto val="1"/>
        <c:lblAlgn val="ctr"/>
        <c:lblOffset val="100"/>
        <c:noMultiLvlLbl val="0"/>
      </c:catAx>
      <c:valAx>
        <c:axId val="1398044880"/>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bg1"/>
                    </a:solidFill>
                    <a:latin typeface="SegEO UI"/>
                    <a:ea typeface="+mn-ea"/>
                    <a:cs typeface="+mn-cs"/>
                  </a:defRPr>
                </a:pPr>
                <a:r>
                  <a:rPr lang="en-US" b="1" i="0" baseline="0">
                    <a:latin typeface="SegEO UI"/>
                  </a:rPr>
                  <a:t>Revenue </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bg1"/>
                  </a:solidFill>
                  <a:latin typeface="SegEO UI"/>
                  <a:ea typeface="+mn-ea"/>
                  <a:cs typeface="+mn-cs"/>
                </a:defRPr>
              </a:pPr>
              <a:endParaRPr lang="en-US"/>
            </a:p>
          </c:txPr>
        </c:title>
        <c:numFmt formatCode="[$₦-46A]#,##0" sourceLinked="0"/>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SegEO UI"/>
                <a:ea typeface="+mn-ea"/>
                <a:cs typeface="+mn-cs"/>
              </a:defRPr>
            </a:pPr>
            <a:endParaRPr lang="en-US"/>
          </a:p>
        </c:txPr>
        <c:crossAx val="1398159600"/>
        <c:crosses val="autoZero"/>
        <c:crossBetween val="between"/>
        <c:dispUnits>
          <c:builtInUnit val="millions"/>
          <c:dispUnitsLbl>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Millions</a:t>
                  </a:r>
                </a:p>
              </c:rich>
            </c:tx>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NW.xlsx]Pivot table!PivotTable10</c:name>
    <c:fmtId val="13"/>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mn-cs"/>
              </a:defRPr>
            </a:pPr>
            <a:r>
              <a:rPr lang="en-US"/>
              <a:t>CATEGORY &amp; REVENUE BY REGION</a:t>
            </a:r>
          </a:p>
        </c:rich>
      </c:tx>
      <c:layout>
        <c:manualLayout>
          <c:xMode val="edge"/>
          <c:yMode val="edge"/>
          <c:x val="4.2326334208223987E-2"/>
          <c:y val="2.3148148148148147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table'!$F$35:$F$36</c:f>
              <c:strCache>
                <c:ptCount val="1"/>
                <c:pt idx="0">
                  <c:v>Audio</c:v>
                </c:pt>
              </c:strCache>
            </c:strRef>
          </c:tx>
          <c:spPr>
            <a:solidFill>
              <a:schemeClr val="accent1"/>
            </a:solidFill>
            <a:ln>
              <a:noFill/>
            </a:ln>
            <a:effectLst/>
          </c:spPr>
          <c:invertIfNegative val="0"/>
          <c:cat>
            <c:strRef>
              <c:f>'Pivot table'!$E$37:$E$41</c:f>
              <c:strCache>
                <c:ptCount val="4"/>
                <c:pt idx="0">
                  <c:v>East</c:v>
                </c:pt>
                <c:pt idx="1">
                  <c:v>North</c:v>
                </c:pt>
                <c:pt idx="2">
                  <c:v>South</c:v>
                </c:pt>
                <c:pt idx="3">
                  <c:v>West</c:v>
                </c:pt>
              </c:strCache>
            </c:strRef>
          </c:cat>
          <c:val>
            <c:numRef>
              <c:f>'Pivot table'!$F$37:$F$41</c:f>
              <c:numCache>
                <c:formatCode>\ #,##0,"k"</c:formatCode>
                <c:ptCount val="4"/>
                <c:pt idx="0">
                  <c:v>3910000</c:v>
                </c:pt>
                <c:pt idx="1">
                  <c:v>1445000</c:v>
                </c:pt>
                <c:pt idx="2">
                  <c:v>2975000</c:v>
                </c:pt>
                <c:pt idx="3">
                  <c:v>595000</c:v>
                </c:pt>
              </c:numCache>
            </c:numRef>
          </c:val>
          <c:extLst>
            <c:ext xmlns:c16="http://schemas.microsoft.com/office/drawing/2014/chart" uri="{C3380CC4-5D6E-409C-BE32-E72D297353CC}">
              <c16:uniqueId val="{00000000-1E45-4C81-BDE7-AA8F6489C130}"/>
            </c:ext>
          </c:extLst>
        </c:ser>
        <c:ser>
          <c:idx val="1"/>
          <c:order val="1"/>
          <c:tx>
            <c:strRef>
              <c:f>'Pivot table'!$G$35:$G$36</c:f>
              <c:strCache>
                <c:ptCount val="1"/>
                <c:pt idx="0">
                  <c:v>Computers</c:v>
                </c:pt>
              </c:strCache>
            </c:strRef>
          </c:tx>
          <c:spPr>
            <a:solidFill>
              <a:schemeClr val="accent2"/>
            </a:solidFill>
            <a:ln>
              <a:noFill/>
            </a:ln>
            <a:effectLst/>
          </c:spPr>
          <c:invertIfNegative val="0"/>
          <c:cat>
            <c:strRef>
              <c:f>'Pivot table'!$E$37:$E$41</c:f>
              <c:strCache>
                <c:ptCount val="4"/>
                <c:pt idx="0">
                  <c:v>East</c:v>
                </c:pt>
                <c:pt idx="1">
                  <c:v>North</c:v>
                </c:pt>
                <c:pt idx="2">
                  <c:v>South</c:v>
                </c:pt>
                <c:pt idx="3">
                  <c:v>West</c:v>
                </c:pt>
              </c:strCache>
            </c:strRef>
          </c:cat>
          <c:val>
            <c:numRef>
              <c:f>'Pivot table'!$G$37:$G$41</c:f>
              <c:numCache>
                <c:formatCode>\ #,##0,"k"</c:formatCode>
                <c:ptCount val="4"/>
                <c:pt idx="0">
                  <c:v>18000000</c:v>
                </c:pt>
                <c:pt idx="1">
                  <c:v>8250000</c:v>
                </c:pt>
                <c:pt idx="2">
                  <c:v>9000000</c:v>
                </c:pt>
                <c:pt idx="3">
                  <c:v>12500000</c:v>
                </c:pt>
              </c:numCache>
            </c:numRef>
          </c:val>
          <c:extLst>
            <c:ext xmlns:c16="http://schemas.microsoft.com/office/drawing/2014/chart" uri="{C3380CC4-5D6E-409C-BE32-E72D297353CC}">
              <c16:uniqueId val="{00000007-1E45-4C81-BDE7-AA8F6489C130}"/>
            </c:ext>
          </c:extLst>
        </c:ser>
        <c:ser>
          <c:idx val="2"/>
          <c:order val="2"/>
          <c:tx>
            <c:strRef>
              <c:f>'Pivot table'!$H$35:$H$36</c:f>
              <c:strCache>
                <c:ptCount val="1"/>
                <c:pt idx="0">
                  <c:v>Electronics</c:v>
                </c:pt>
              </c:strCache>
            </c:strRef>
          </c:tx>
          <c:spPr>
            <a:solidFill>
              <a:schemeClr val="accent3"/>
            </a:solidFill>
            <a:ln>
              <a:noFill/>
            </a:ln>
            <a:effectLst/>
          </c:spPr>
          <c:invertIfNegative val="0"/>
          <c:cat>
            <c:strRef>
              <c:f>'Pivot table'!$E$37:$E$41</c:f>
              <c:strCache>
                <c:ptCount val="4"/>
                <c:pt idx="0">
                  <c:v>East</c:v>
                </c:pt>
                <c:pt idx="1">
                  <c:v>North</c:v>
                </c:pt>
                <c:pt idx="2">
                  <c:v>South</c:v>
                </c:pt>
                <c:pt idx="3">
                  <c:v>West</c:v>
                </c:pt>
              </c:strCache>
            </c:strRef>
          </c:cat>
          <c:val>
            <c:numRef>
              <c:f>'Pivot table'!$H$37:$H$41</c:f>
              <c:numCache>
                <c:formatCode>\ #,##0,"k"</c:formatCode>
                <c:ptCount val="4"/>
                <c:pt idx="0">
                  <c:v>13300000</c:v>
                </c:pt>
                <c:pt idx="1">
                  <c:v>13300000</c:v>
                </c:pt>
                <c:pt idx="2">
                  <c:v>28000000</c:v>
                </c:pt>
                <c:pt idx="3">
                  <c:v>20650000</c:v>
                </c:pt>
              </c:numCache>
            </c:numRef>
          </c:val>
          <c:extLst>
            <c:ext xmlns:c16="http://schemas.microsoft.com/office/drawing/2014/chart" uri="{C3380CC4-5D6E-409C-BE32-E72D297353CC}">
              <c16:uniqueId val="{00000008-1E45-4C81-BDE7-AA8F6489C130}"/>
            </c:ext>
          </c:extLst>
        </c:ser>
        <c:ser>
          <c:idx val="3"/>
          <c:order val="3"/>
          <c:tx>
            <c:strRef>
              <c:f>'Pivot table'!$I$35:$I$36</c:f>
              <c:strCache>
                <c:ptCount val="1"/>
                <c:pt idx="0">
                  <c:v>Mobile</c:v>
                </c:pt>
              </c:strCache>
            </c:strRef>
          </c:tx>
          <c:spPr>
            <a:solidFill>
              <a:schemeClr val="accent4"/>
            </a:solidFill>
            <a:ln>
              <a:noFill/>
            </a:ln>
            <a:effectLst/>
          </c:spPr>
          <c:invertIfNegative val="0"/>
          <c:cat>
            <c:strRef>
              <c:f>'Pivot table'!$E$37:$E$41</c:f>
              <c:strCache>
                <c:ptCount val="4"/>
                <c:pt idx="0">
                  <c:v>East</c:v>
                </c:pt>
                <c:pt idx="1">
                  <c:v>North</c:v>
                </c:pt>
                <c:pt idx="2">
                  <c:v>South</c:v>
                </c:pt>
                <c:pt idx="3">
                  <c:v>West</c:v>
                </c:pt>
              </c:strCache>
            </c:strRef>
          </c:cat>
          <c:val>
            <c:numRef>
              <c:f>'Pivot table'!$I$37:$I$41</c:f>
              <c:numCache>
                <c:formatCode>\ #,##0,"k"</c:formatCode>
                <c:ptCount val="4"/>
                <c:pt idx="0">
                  <c:v>18180000</c:v>
                </c:pt>
                <c:pt idx="1">
                  <c:v>10140000</c:v>
                </c:pt>
                <c:pt idx="2">
                  <c:v>11940000</c:v>
                </c:pt>
                <c:pt idx="3">
                  <c:v>8400000</c:v>
                </c:pt>
              </c:numCache>
            </c:numRef>
          </c:val>
          <c:extLst>
            <c:ext xmlns:c16="http://schemas.microsoft.com/office/drawing/2014/chart" uri="{C3380CC4-5D6E-409C-BE32-E72D297353CC}">
              <c16:uniqueId val="{00000009-1E45-4C81-BDE7-AA8F6489C130}"/>
            </c:ext>
          </c:extLst>
        </c:ser>
        <c:ser>
          <c:idx val="4"/>
          <c:order val="4"/>
          <c:tx>
            <c:strRef>
              <c:f>'Pivot table'!$J$35:$J$36</c:f>
              <c:strCache>
                <c:ptCount val="1"/>
                <c:pt idx="0">
                  <c:v>Peripherals</c:v>
                </c:pt>
              </c:strCache>
            </c:strRef>
          </c:tx>
          <c:spPr>
            <a:solidFill>
              <a:schemeClr val="accent5"/>
            </a:solidFill>
            <a:ln>
              <a:noFill/>
            </a:ln>
            <a:effectLst/>
          </c:spPr>
          <c:invertIfNegative val="0"/>
          <c:cat>
            <c:strRef>
              <c:f>'Pivot table'!$E$37:$E$41</c:f>
              <c:strCache>
                <c:ptCount val="4"/>
                <c:pt idx="0">
                  <c:v>East</c:v>
                </c:pt>
                <c:pt idx="1">
                  <c:v>North</c:v>
                </c:pt>
                <c:pt idx="2">
                  <c:v>South</c:v>
                </c:pt>
                <c:pt idx="3">
                  <c:v>West</c:v>
                </c:pt>
              </c:strCache>
            </c:strRef>
          </c:cat>
          <c:val>
            <c:numRef>
              <c:f>'Pivot table'!$J$37:$J$41</c:f>
              <c:numCache>
                <c:formatCode>\ #,##0,"k"</c:formatCode>
                <c:ptCount val="4"/>
                <c:pt idx="0">
                  <c:v>3705000</c:v>
                </c:pt>
                <c:pt idx="1">
                  <c:v>1105000</c:v>
                </c:pt>
                <c:pt idx="2">
                  <c:v>3445000</c:v>
                </c:pt>
                <c:pt idx="3">
                  <c:v>3185000</c:v>
                </c:pt>
              </c:numCache>
            </c:numRef>
          </c:val>
          <c:extLst>
            <c:ext xmlns:c16="http://schemas.microsoft.com/office/drawing/2014/chart" uri="{C3380CC4-5D6E-409C-BE32-E72D297353CC}">
              <c16:uniqueId val="{0000000A-1E45-4C81-BDE7-AA8F6489C130}"/>
            </c:ext>
          </c:extLst>
        </c:ser>
        <c:ser>
          <c:idx val="5"/>
          <c:order val="5"/>
          <c:tx>
            <c:strRef>
              <c:f>'Pivot table'!$K$35:$K$36</c:f>
              <c:strCache>
                <c:ptCount val="1"/>
                <c:pt idx="0">
                  <c:v>Photography</c:v>
                </c:pt>
              </c:strCache>
            </c:strRef>
          </c:tx>
          <c:spPr>
            <a:solidFill>
              <a:schemeClr val="accent6"/>
            </a:solidFill>
            <a:ln>
              <a:noFill/>
            </a:ln>
            <a:effectLst/>
          </c:spPr>
          <c:invertIfNegative val="0"/>
          <c:cat>
            <c:strRef>
              <c:f>'Pivot table'!$E$37:$E$41</c:f>
              <c:strCache>
                <c:ptCount val="4"/>
                <c:pt idx="0">
                  <c:v>East</c:v>
                </c:pt>
                <c:pt idx="1">
                  <c:v>North</c:v>
                </c:pt>
                <c:pt idx="2">
                  <c:v>South</c:v>
                </c:pt>
                <c:pt idx="3">
                  <c:v>West</c:v>
                </c:pt>
              </c:strCache>
            </c:strRef>
          </c:cat>
          <c:val>
            <c:numRef>
              <c:f>'Pivot table'!$K$37:$K$41</c:f>
              <c:numCache>
                <c:formatCode>\ #,##0,"k"</c:formatCode>
                <c:ptCount val="4"/>
                <c:pt idx="0">
                  <c:v>18025000</c:v>
                </c:pt>
                <c:pt idx="1">
                  <c:v>5250000</c:v>
                </c:pt>
                <c:pt idx="2">
                  <c:v>1750000</c:v>
                </c:pt>
                <c:pt idx="3">
                  <c:v>525000</c:v>
                </c:pt>
              </c:numCache>
            </c:numRef>
          </c:val>
          <c:extLst>
            <c:ext xmlns:c16="http://schemas.microsoft.com/office/drawing/2014/chart" uri="{C3380CC4-5D6E-409C-BE32-E72D297353CC}">
              <c16:uniqueId val="{0000000B-1E45-4C81-BDE7-AA8F6489C130}"/>
            </c:ext>
          </c:extLst>
        </c:ser>
        <c:dLbls>
          <c:showLegendKey val="0"/>
          <c:showVal val="0"/>
          <c:showCatName val="0"/>
          <c:showSerName val="0"/>
          <c:showPercent val="0"/>
          <c:showBubbleSize val="0"/>
        </c:dLbls>
        <c:gapWidth val="150"/>
        <c:overlap val="100"/>
        <c:axId val="1031514736"/>
        <c:axId val="1031513296"/>
      </c:barChart>
      <c:catAx>
        <c:axId val="1031514736"/>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mn-cs"/>
              </a:defRPr>
            </a:pPr>
            <a:endParaRPr lang="en-US"/>
          </a:p>
        </c:txPr>
        <c:crossAx val="1031513296"/>
        <c:crosses val="autoZero"/>
        <c:auto val="1"/>
        <c:lblAlgn val="ctr"/>
        <c:lblOffset val="100"/>
        <c:noMultiLvlLbl val="0"/>
      </c:catAx>
      <c:valAx>
        <c:axId val="103151329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mn-cs"/>
                  </a:defRPr>
                </a:pPr>
                <a:r>
                  <a:rPr lang="en-US"/>
                  <a:t> REVENUE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mn-cs"/>
                </a:defRPr>
              </a:pPr>
              <a:endParaRPr lang="en-US"/>
            </a:p>
          </c:txPr>
        </c:title>
        <c:numFmt formatCode="[$₦-46A]#,##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mn-cs"/>
              </a:defRPr>
            </a:pPr>
            <a:endParaRPr lang="en-US"/>
          </a:p>
        </c:txPr>
        <c:crossAx val="1031514736"/>
        <c:crosses val="autoZero"/>
        <c:crossBetween val="between"/>
        <c:dispUnits>
          <c:builtInUnit val="millions"/>
          <c:dispUnitsLbl>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mn-cs"/>
                    </a:defRPr>
                  </a:pPr>
                  <a:r>
                    <a:rPr lang="en-US"/>
                    <a:t>Millions</a:t>
                  </a:r>
                </a:p>
              </c:rich>
            </c:tx>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i="0" baseline="0">
          <a:latin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NW.xlsx]Pivot table!PivotTable8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Segoe UI" panose="020B0502040204020203" pitchFamily="34" charset="0"/>
                <a:cs typeface="Segoe UI" panose="020B0502040204020203" pitchFamily="34" charset="0"/>
              </a:rPr>
              <a:t>BOTTOM</a:t>
            </a:r>
            <a:r>
              <a:rPr lang="en-US" sz="1400" b="1" baseline="0">
                <a:latin typeface="Segoe UI" panose="020B0502040204020203" pitchFamily="34" charset="0"/>
                <a:cs typeface="Segoe UI" panose="020B0502040204020203" pitchFamily="34" charset="0"/>
              </a:rPr>
              <a:t> 5 SALES REP BY REVENUE</a:t>
            </a:r>
            <a:endParaRPr lang="en-US" sz="1400" b="1">
              <a:latin typeface="Segoe UI" panose="020B0502040204020203" pitchFamily="34" charset="0"/>
              <a:cs typeface="Segoe UI" panose="020B0502040204020203" pitchFamily="34" charset="0"/>
            </a:endParaRPr>
          </a:p>
        </c:rich>
      </c:tx>
      <c:layout>
        <c:manualLayout>
          <c:xMode val="edge"/>
          <c:yMode val="edge"/>
          <c:x val="4.8181825889586395E-2"/>
          <c:y val="2.45353023396439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table'!$L$25</c:f>
              <c:strCache>
                <c:ptCount val="1"/>
                <c:pt idx="0">
                  <c:v>Total</c:v>
                </c:pt>
              </c:strCache>
            </c:strRef>
          </c:tx>
          <c:spPr>
            <a:solidFill>
              <a:schemeClr val="accent1"/>
            </a:solidFill>
            <a:ln>
              <a:noFill/>
            </a:ln>
            <a:effectLst/>
            <a:sp3d/>
          </c:spPr>
          <c:invertIfNegative val="0"/>
          <c:cat>
            <c:strRef>
              <c:f>'Pivot table'!$K$26:$K$31</c:f>
              <c:strCache>
                <c:ptCount val="5"/>
                <c:pt idx="0">
                  <c:v>Peter Obi</c:v>
                </c:pt>
                <c:pt idx="1">
                  <c:v>Mary John</c:v>
                </c:pt>
                <c:pt idx="2">
                  <c:v>Job Austin</c:v>
                </c:pt>
                <c:pt idx="3">
                  <c:v>Praise Odunayo</c:v>
                </c:pt>
                <c:pt idx="4">
                  <c:v>Aba Joel</c:v>
                </c:pt>
              </c:strCache>
            </c:strRef>
          </c:cat>
          <c:val>
            <c:numRef>
              <c:f>'Pivot table'!$L$26:$L$31</c:f>
              <c:numCache>
                <c:formatCode>\ #,##0,"k"</c:formatCode>
                <c:ptCount val="5"/>
                <c:pt idx="0">
                  <c:v>24790000</c:v>
                </c:pt>
                <c:pt idx="1">
                  <c:v>20885000</c:v>
                </c:pt>
                <c:pt idx="2">
                  <c:v>5250000</c:v>
                </c:pt>
                <c:pt idx="3">
                  <c:v>2850000</c:v>
                </c:pt>
                <c:pt idx="4">
                  <c:v>650000</c:v>
                </c:pt>
              </c:numCache>
            </c:numRef>
          </c:val>
          <c:extLst>
            <c:ext xmlns:c16="http://schemas.microsoft.com/office/drawing/2014/chart" uri="{C3380CC4-5D6E-409C-BE32-E72D297353CC}">
              <c16:uniqueId val="{00000000-EBFB-41A4-AA34-47714A4D70EB}"/>
            </c:ext>
          </c:extLst>
        </c:ser>
        <c:dLbls>
          <c:showLegendKey val="0"/>
          <c:showVal val="0"/>
          <c:showCatName val="0"/>
          <c:showSerName val="0"/>
          <c:showPercent val="0"/>
          <c:showBubbleSize val="0"/>
        </c:dLbls>
        <c:gapWidth val="150"/>
        <c:shape val="box"/>
        <c:axId val="1091670656"/>
        <c:axId val="1091671136"/>
        <c:axId val="0"/>
      </c:bar3DChart>
      <c:catAx>
        <c:axId val="109167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a:latin typeface="Segoe UI" panose="020B0502040204020203" pitchFamily="34" charset="0"/>
                    <a:cs typeface="Segoe UI" panose="020B0502040204020203" pitchFamily="34" charset="0"/>
                  </a:rPr>
                  <a:t> SALES</a:t>
                </a:r>
                <a:r>
                  <a:rPr lang="en-US" sz="1000" b="1" baseline="0">
                    <a:latin typeface="Segoe UI" panose="020B0502040204020203" pitchFamily="34" charset="0"/>
                    <a:cs typeface="Segoe UI" panose="020B0502040204020203" pitchFamily="34" charset="0"/>
                  </a:rPr>
                  <a:t> REP</a:t>
                </a:r>
                <a:endParaRPr lang="en-US" sz="1000" b="1">
                  <a:latin typeface="Segoe UI" panose="020B0502040204020203" pitchFamily="34" charset="0"/>
                  <a:cs typeface="Segoe UI" panose="020B0502040204020203" pitchFamily="34" charset="0"/>
                </a:endParaRPr>
              </a:p>
            </c:rich>
          </c:tx>
          <c:layout>
            <c:manualLayout>
              <c:xMode val="edge"/>
              <c:yMode val="edge"/>
              <c:x val="0.49754172067582975"/>
              <c:y val="0.8499989857453756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IO UI"/>
                <a:ea typeface="+mn-ea"/>
                <a:cs typeface="+mn-cs"/>
              </a:defRPr>
            </a:pPr>
            <a:endParaRPr lang="en-US"/>
          </a:p>
        </c:txPr>
        <c:crossAx val="1091671136"/>
        <c:crosses val="autoZero"/>
        <c:auto val="1"/>
        <c:lblAlgn val="ctr"/>
        <c:lblOffset val="100"/>
        <c:noMultiLvlLbl val="0"/>
      </c:catAx>
      <c:valAx>
        <c:axId val="109167113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1">
                    <a:latin typeface="Segoe UI" panose="020B0502040204020203" pitchFamily="34" charset="0"/>
                    <a:cs typeface="Segoe UI" panose="020B0502040204020203" pitchFamily="34" charset="0"/>
                  </a:rPr>
                  <a:t>REVENUE</a:t>
                </a:r>
                <a:r>
                  <a:rPr lang="en-US"/>
                  <a:t>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6A]#,##0" sourceLinked="0"/>
        <c:majorTickMark val="none"/>
        <c:minorTickMark val="none"/>
        <c:tickLblPos val="nextTo"/>
        <c:spPr>
          <a:noFill/>
          <a:ln>
            <a:noFill/>
          </a:ln>
          <a:effectLst/>
        </c:spPr>
        <c:txPr>
          <a:bodyPr rot="0" spcFirstLastPara="1" vertOverflow="ellipsis"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mn-cs"/>
              </a:defRPr>
            </a:pPr>
            <a:endParaRPr lang="en-US"/>
          </a:p>
        </c:txPr>
        <c:crossAx val="1091670656"/>
        <c:crosses val="autoZero"/>
        <c:crossBetween val="between"/>
        <c:dispUnits>
          <c:builtInUnit val="millions"/>
          <c:dispUnitsLbl>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SegIO UI"/>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NW.xlsx]Pivot table!PivotTable6</c:name>
    <c:fmtId val="1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io ui"/>
                <a:ea typeface="+mn-ea"/>
                <a:cs typeface="+mn-cs"/>
              </a:defRPr>
            </a:pPr>
            <a:r>
              <a:rPr lang="en-US" sz="1400" b="1">
                <a:latin typeface="Segoe UI" panose="020B0502040204020203" pitchFamily="34" charset="0"/>
                <a:cs typeface="Segoe UI" panose="020B0502040204020203" pitchFamily="34" charset="0"/>
              </a:rPr>
              <a:t>PRODUCT</a:t>
            </a:r>
            <a:r>
              <a:rPr lang="en-US" sz="1400" b="1" baseline="0">
                <a:latin typeface="Segoe UI" panose="020B0502040204020203" pitchFamily="34" charset="0"/>
                <a:cs typeface="Segoe UI" panose="020B0502040204020203" pitchFamily="34" charset="0"/>
              </a:rPr>
              <a:t> BY UNITS SOLD</a:t>
            </a:r>
            <a:endParaRPr lang="en-US" sz="1400" b="1">
              <a:latin typeface="Segoe UI" panose="020B0502040204020203" pitchFamily="34" charset="0"/>
              <a:cs typeface="Segoe UI" panose="020B0502040204020203" pitchFamily="34" charset="0"/>
            </a:endParaRPr>
          </a:p>
        </c:rich>
      </c:tx>
      <c:layout>
        <c:manualLayout>
          <c:xMode val="edge"/>
          <c:yMode val="edge"/>
          <c:x val="7.2374890638670183E-2"/>
          <c:y val="5.0925925925925923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io ui"/>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Segio ui"/>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io ui"/>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io ui"/>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table'!$B$17</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Segio ui"/>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table'!$A$18:$A$25</c:f>
              <c:strCache>
                <c:ptCount val="7"/>
                <c:pt idx="0">
                  <c:v>Tablet T8</c:v>
                </c:pt>
                <c:pt idx="1">
                  <c:v>Tv 43Q</c:v>
                </c:pt>
                <c:pt idx="2">
                  <c:v>Laptop A15</c:v>
                </c:pt>
                <c:pt idx="3">
                  <c:v>Monitor M24</c:v>
                </c:pt>
                <c:pt idx="4">
                  <c:v>Camera C100</c:v>
                </c:pt>
                <c:pt idx="5">
                  <c:v>Speaker S10</c:v>
                </c:pt>
                <c:pt idx="6">
                  <c:v>Phone X12</c:v>
                </c:pt>
              </c:strCache>
            </c:strRef>
          </c:cat>
          <c:val>
            <c:numRef>
              <c:f>'Pivot table'!$B$18:$B$25</c:f>
              <c:numCache>
                <c:formatCode>General</c:formatCode>
                <c:ptCount val="7"/>
                <c:pt idx="0">
                  <c:v>22</c:v>
                </c:pt>
                <c:pt idx="1">
                  <c:v>17</c:v>
                </c:pt>
                <c:pt idx="2">
                  <c:v>14</c:v>
                </c:pt>
                <c:pt idx="3">
                  <c:v>14</c:v>
                </c:pt>
                <c:pt idx="4">
                  <c:v>13</c:v>
                </c:pt>
                <c:pt idx="5">
                  <c:v>12</c:v>
                </c:pt>
                <c:pt idx="6">
                  <c:v>8</c:v>
                </c:pt>
              </c:numCache>
            </c:numRef>
          </c:val>
          <c:extLst>
            <c:ext xmlns:c16="http://schemas.microsoft.com/office/drawing/2014/chart" uri="{C3380CC4-5D6E-409C-BE32-E72D297353CC}">
              <c16:uniqueId val="{00000000-08B6-4BEA-A62B-02893D3E8728}"/>
            </c:ext>
          </c:extLst>
        </c:ser>
        <c:dLbls>
          <c:showLegendKey val="0"/>
          <c:showVal val="1"/>
          <c:showCatName val="0"/>
          <c:showSerName val="0"/>
          <c:showPercent val="0"/>
          <c:showBubbleSize val="0"/>
        </c:dLbls>
        <c:gapWidth val="150"/>
        <c:shape val="box"/>
        <c:axId val="141401919"/>
        <c:axId val="141405279"/>
        <c:axId val="0"/>
      </c:bar3DChart>
      <c:catAx>
        <c:axId val="141401919"/>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Segio ui"/>
                    <a:ea typeface="+mn-ea"/>
                    <a:cs typeface="+mn-cs"/>
                  </a:defRPr>
                </a:pPr>
                <a:r>
                  <a:rPr lang="en-US" sz="1000" b="1">
                    <a:latin typeface="Segoe UI" panose="020B0502040204020203" pitchFamily="34" charset="0"/>
                    <a:cs typeface="Segoe UI" panose="020B0502040204020203" pitchFamily="34" charset="0"/>
                  </a:rPr>
                  <a:t>Product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Segio ui"/>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io ui"/>
                <a:ea typeface="+mn-ea"/>
                <a:cs typeface="+mn-cs"/>
              </a:defRPr>
            </a:pPr>
            <a:endParaRPr lang="en-US"/>
          </a:p>
        </c:txPr>
        <c:crossAx val="141405279"/>
        <c:crosses val="autoZero"/>
        <c:auto val="1"/>
        <c:lblAlgn val="ctr"/>
        <c:lblOffset val="100"/>
        <c:noMultiLvlLbl val="0"/>
      </c:catAx>
      <c:valAx>
        <c:axId val="141405279"/>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Segio ui"/>
                    <a:ea typeface="+mn-ea"/>
                    <a:cs typeface="+mn-cs"/>
                  </a:defRPr>
                </a:pPr>
                <a:r>
                  <a:rPr lang="en-US"/>
                  <a:t>Units Sold</a:t>
                </a:r>
              </a:p>
            </c:rich>
          </c:tx>
          <c:layout>
            <c:manualLayout>
              <c:xMode val="edge"/>
              <c:yMode val="edge"/>
              <c:x val="0.59969283334406676"/>
              <c:y val="0.9289479254303973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Segio ui"/>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io ui"/>
                <a:ea typeface="+mn-ea"/>
                <a:cs typeface="+mn-cs"/>
              </a:defRPr>
            </a:pPr>
            <a:endParaRPr lang="en-US"/>
          </a:p>
        </c:txPr>
        <c:crossAx val="141401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i="0" baseline="0">
          <a:latin typeface="Segio ui"/>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Final Project NW.xlsx]KPIs!PivotTable10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latin typeface="Segoe UI" panose="020B0502040204020203" pitchFamily="34" charset="0"/>
                <a:cs typeface="Segoe UI" panose="020B0502040204020203" pitchFamily="34" charset="0"/>
              </a:rPr>
              <a:t>REVENUE</a:t>
            </a:r>
            <a:r>
              <a:rPr lang="en-US" sz="1400" b="1" baseline="0">
                <a:latin typeface="Segoe UI" panose="020B0502040204020203" pitchFamily="34" charset="0"/>
                <a:cs typeface="Segoe UI" panose="020B0502040204020203" pitchFamily="34" charset="0"/>
              </a:rPr>
              <a:t> BY REGION</a:t>
            </a:r>
            <a:endParaRPr lang="en-US" sz="1400" b="1">
              <a:latin typeface="Segoe UI" panose="020B0502040204020203" pitchFamily="34" charset="0"/>
              <a:cs typeface="Segoe UI" panose="020B0502040204020203" pitchFamily="34" charset="0"/>
            </a:endParaRPr>
          </a:p>
        </c:rich>
      </c:tx>
      <c:layout>
        <c:manualLayout>
          <c:xMode val="edge"/>
          <c:yMode val="edge"/>
          <c:x val="3.7992168156163485E-2"/>
          <c:y val="3.64491453105926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Segoe UI" panose="020B050204020402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2604299189675529"/>
          <c:y val="0.12902813299232738"/>
          <c:w val="0.67395700810324477"/>
          <c:h val="0.62249263279430223"/>
        </c:manualLayout>
      </c:layout>
      <c:bar3DChart>
        <c:barDir val="col"/>
        <c:grouping val="clustered"/>
        <c:varyColors val="0"/>
        <c:ser>
          <c:idx val="0"/>
          <c:order val="0"/>
          <c:tx>
            <c:strRef>
              <c:f>KPIs!$D$99</c:f>
              <c:strCache>
                <c:ptCount val="1"/>
                <c:pt idx="0">
                  <c:v>Total</c:v>
                </c:pt>
              </c:strCache>
            </c:strRef>
          </c:tx>
          <c:spPr>
            <a:solidFill>
              <a:schemeClr val="accent1"/>
            </a:solidFill>
            <a:ln>
              <a:noFill/>
            </a:ln>
            <a:effectLst/>
            <a:sp3d/>
          </c:spPr>
          <c:invertIfNegative val="0"/>
          <c:cat>
            <c:strRef>
              <c:f>KPIs!$C$100:$C$104</c:f>
              <c:strCache>
                <c:ptCount val="4"/>
                <c:pt idx="0">
                  <c:v>East</c:v>
                </c:pt>
                <c:pt idx="1">
                  <c:v>South</c:v>
                </c:pt>
                <c:pt idx="2">
                  <c:v>West</c:v>
                </c:pt>
                <c:pt idx="3">
                  <c:v>North</c:v>
                </c:pt>
              </c:strCache>
            </c:strRef>
          </c:cat>
          <c:val>
            <c:numRef>
              <c:f>KPIs!$D$100:$D$104</c:f>
              <c:numCache>
                <c:formatCode>\ #,##0,"k"</c:formatCode>
                <c:ptCount val="4"/>
                <c:pt idx="0">
                  <c:v>75120000</c:v>
                </c:pt>
                <c:pt idx="1">
                  <c:v>57110000</c:v>
                </c:pt>
                <c:pt idx="2">
                  <c:v>45855000</c:v>
                </c:pt>
                <c:pt idx="3">
                  <c:v>39490000</c:v>
                </c:pt>
              </c:numCache>
            </c:numRef>
          </c:val>
          <c:extLst>
            <c:ext xmlns:c16="http://schemas.microsoft.com/office/drawing/2014/chart" uri="{C3380CC4-5D6E-409C-BE32-E72D297353CC}">
              <c16:uniqueId val="{00000000-5E34-4F11-A035-EA5D13588D12}"/>
            </c:ext>
          </c:extLst>
        </c:ser>
        <c:dLbls>
          <c:showLegendKey val="0"/>
          <c:showVal val="0"/>
          <c:showCatName val="0"/>
          <c:showSerName val="0"/>
          <c:showPercent val="0"/>
          <c:showBubbleSize val="0"/>
        </c:dLbls>
        <c:gapWidth val="150"/>
        <c:shape val="box"/>
        <c:axId val="1219890144"/>
        <c:axId val="1219890624"/>
        <c:axId val="0"/>
      </c:bar3DChart>
      <c:catAx>
        <c:axId val="1219890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Segoe UI" panose="020B0502040204020203" pitchFamily="34" charset="0"/>
                    <a:cs typeface="Segoe UI" panose="020B0502040204020203" pitchFamily="34" charset="0"/>
                  </a:rPr>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mn-cs"/>
              </a:defRPr>
            </a:pPr>
            <a:endParaRPr lang="en-US"/>
          </a:p>
        </c:txPr>
        <c:crossAx val="1219890624"/>
        <c:crossesAt val="0"/>
        <c:auto val="1"/>
        <c:lblAlgn val="ctr"/>
        <c:lblOffset val="100"/>
        <c:noMultiLvlLbl val="0"/>
      </c:catAx>
      <c:valAx>
        <c:axId val="12198906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Segoe UI" panose="020B0502040204020203" pitchFamily="34" charset="0"/>
                    <a:cs typeface="Segoe UI" panose="020B0502040204020203" pitchFamily="34" charset="0"/>
                  </a:rPr>
                  <a:t> REVENUE</a:t>
                </a:r>
              </a:p>
            </c:rich>
          </c:tx>
          <c:layout>
            <c:manualLayout>
              <c:xMode val="edge"/>
              <c:yMode val="edge"/>
              <c:x val="6.0438175608852715E-2"/>
              <c:y val="0.33331738882532347"/>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6A]#,##0" sourceLinked="0"/>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egoe UI" panose="020B0502040204020203" pitchFamily="34" charset="0"/>
                <a:ea typeface="+mn-ea"/>
                <a:cs typeface="+mn-cs"/>
              </a:defRPr>
            </a:pPr>
            <a:endParaRPr lang="en-US"/>
          </a:p>
        </c:txPr>
        <c:crossAx val="1219890144"/>
        <c:crosses val="autoZero"/>
        <c:crossBetween val="between"/>
        <c:dispUnits>
          <c:builtInUnit val="millions"/>
          <c:dispUnitsLbl>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latin typeface="Segoe UI" panose="020B0502040204020203" pitchFamily="34" charset="0"/>
                      <a:cs typeface="Segoe UI" panose="020B0502040204020203" pitchFamily="34" charset="0"/>
                    </a:rPr>
                    <a:t>Millions</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image" Target="../media/image3.png"/><Relationship Id="rId7" Type="http://schemas.openxmlformats.org/officeDocument/2006/relationships/chart" Target="../charts/chart12.xml"/><Relationship Id="rId12" Type="http://schemas.openxmlformats.org/officeDocument/2006/relationships/chart" Target="../charts/chart1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chart" Target="../charts/chart16.xml"/><Relationship Id="rId5" Type="http://schemas.openxmlformats.org/officeDocument/2006/relationships/chart" Target="../charts/chart10.xml"/><Relationship Id="rId10" Type="http://schemas.openxmlformats.org/officeDocument/2006/relationships/chart" Target="../charts/chart15.xml"/><Relationship Id="rId4" Type="http://schemas.openxmlformats.org/officeDocument/2006/relationships/image" Target="../media/image4.svg"/><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25400</xdr:rowOff>
    </xdr:from>
    <xdr:to>
      <xdr:col>14</xdr:col>
      <xdr:colOff>19050</xdr:colOff>
      <xdr:row>9</xdr:row>
      <xdr:rowOff>25400</xdr:rowOff>
    </xdr:to>
    <xdr:sp macro="" textlink="">
      <xdr:nvSpPr>
        <xdr:cNvPr id="2" name="TextBox 1">
          <a:extLst>
            <a:ext uri="{FF2B5EF4-FFF2-40B4-BE49-F238E27FC236}">
              <a16:creationId xmlns:a16="http://schemas.microsoft.com/office/drawing/2014/main" id="{BEBDE3F9-747E-F89B-1A42-02FEE20405A0}"/>
            </a:ext>
          </a:extLst>
        </xdr:cNvPr>
        <xdr:cNvSpPr txBox="1"/>
      </xdr:nvSpPr>
      <xdr:spPr>
        <a:xfrm>
          <a:off x="241300" y="825500"/>
          <a:ext cx="7943850" cy="1104900"/>
        </a:xfrm>
        <a:prstGeom prst="rect">
          <a:avLst/>
        </a:prstGeom>
        <a:solidFill>
          <a:schemeClr val="lt1"/>
        </a:solidFill>
        <a:ln w="12700" cmpd="sng">
          <a:solidFill>
            <a:sysClr val="windowText" lastClr="000000"/>
          </a:solidFill>
          <a:prstDash val="sysDash"/>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D-Lite Electronics Ltd. operates across four major regions in Nigeria: North, South, East, and West. The company’s sales data is inconsistent and often contains errors. As a Data Analyst, your task is to clean, analyse, and visualise the data to support management decision-making leveraging</a:t>
          </a:r>
          <a:r>
            <a:rPr lang="en-US" sz="1600" baseline="0">
              <a:solidFill>
                <a:schemeClr val="dk1"/>
              </a:solidFill>
              <a:effectLst/>
              <a:latin typeface="+mn-lt"/>
              <a:ea typeface="+mn-ea"/>
              <a:cs typeface="+mn-cs"/>
            </a:rPr>
            <a:t> all the concepts learnt during the training</a:t>
          </a:r>
          <a:r>
            <a:rPr lang="en-US" sz="1600">
              <a:solidFill>
                <a:schemeClr val="dk1"/>
              </a:solidFill>
              <a:effectLst/>
              <a:latin typeface="+mn-lt"/>
              <a:ea typeface="+mn-ea"/>
              <a:cs typeface="+mn-cs"/>
            </a:rPr>
            <a:t>.</a:t>
          </a:r>
        </a:p>
        <a:p>
          <a:endParaRPr lang="en-US" sz="16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431030</xdr:colOff>
      <xdr:row>2</xdr:row>
      <xdr:rowOff>60036</xdr:rowOff>
    </xdr:from>
    <xdr:to>
      <xdr:col>20</xdr:col>
      <xdr:colOff>161636</xdr:colOff>
      <xdr:row>19</xdr:row>
      <xdr:rowOff>100061</xdr:rowOff>
    </xdr:to>
    <xdr:graphicFrame macro="">
      <xdr:nvGraphicFramePr>
        <xdr:cNvPr id="2" name="Chart 1">
          <a:extLst>
            <a:ext uri="{FF2B5EF4-FFF2-40B4-BE49-F238E27FC236}">
              <a16:creationId xmlns:a16="http://schemas.microsoft.com/office/drawing/2014/main" id="{E863467D-8E61-F870-0A8F-2D9A79D0D0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284789</xdr:colOff>
      <xdr:row>31</xdr:row>
      <xdr:rowOff>69271</xdr:rowOff>
    </xdr:from>
    <xdr:to>
      <xdr:col>3</xdr:col>
      <xdr:colOff>608061</xdr:colOff>
      <xdr:row>44</xdr:row>
      <xdr:rowOff>38484</xdr:rowOff>
    </xdr:to>
    <xdr:graphicFrame macro="">
      <xdr:nvGraphicFramePr>
        <xdr:cNvPr id="3" name="Chart 2">
          <a:extLst>
            <a:ext uri="{FF2B5EF4-FFF2-40B4-BE49-F238E27FC236}">
              <a16:creationId xmlns:a16="http://schemas.microsoft.com/office/drawing/2014/main" id="{44B09FA7-DADB-0C4A-345A-265DDE9D2D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469514</xdr:colOff>
      <xdr:row>19</xdr:row>
      <xdr:rowOff>123152</xdr:rowOff>
    </xdr:from>
    <xdr:to>
      <xdr:col>17</xdr:col>
      <xdr:colOff>746606</xdr:colOff>
      <xdr:row>31</xdr:row>
      <xdr:rowOff>130849</xdr:rowOff>
    </xdr:to>
    <xdr:graphicFrame macro="">
      <xdr:nvGraphicFramePr>
        <xdr:cNvPr id="4" name="Chart 3">
          <a:extLst>
            <a:ext uri="{FF2B5EF4-FFF2-40B4-BE49-F238E27FC236}">
              <a16:creationId xmlns:a16="http://schemas.microsoft.com/office/drawing/2014/main" id="{F5D571D4-2063-8A7A-B304-06E2688C74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677333</xdr:colOff>
      <xdr:row>15</xdr:row>
      <xdr:rowOff>52339</xdr:rowOff>
    </xdr:from>
    <xdr:to>
      <xdr:col>8</xdr:col>
      <xdr:colOff>323273</xdr:colOff>
      <xdr:row>28</xdr:row>
      <xdr:rowOff>163175</xdr:rowOff>
    </xdr:to>
    <xdr:graphicFrame macro="">
      <xdr:nvGraphicFramePr>
        <xdr:cNvPr id="5" name="Chart 4">
          <a:extLst>
            <a:ext uri="{FF2B5EF4-FFF2-40B4-BE49-F238E27FC236}">
              <a16:creationId xmlns:a16="http://schemas.microsoft.com/office/drawing/2014/main" id="{38599651-761A-8DE2-CF19-9449830458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270387</xdr:colOff>
      <xdr:row>26</xdr:row>
      <xdr:rowOff>129541</xdr:rowOff>
    </xdr:from>
    <xdr:to>
      <xdr:col>8</xdr:col>
      <xdr:colOff>1530146</xdr:colOff>
      <xdr:row>37</xdr:row>
      <xdr:rowOff>55799</xdr:rowOff>
    </xdr:to>
    <xdr:graphicFrame macro="">
      <xdr:nvGraphicFramePr>
        <xdr:cNvPr id="3" name="Chart 2">
          <a:extLst>
            <a:ext uri="{FF2B5EF4-FFF2-40B4-BE49-F238E27FC236}">
              <a16:creationId xmlns:a16="http://schemas.microsoft.com/office/drawing/2014/main" id="{15E54FF2-1860-CE06-6C87-EE8CAAACE0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329380</xdr:colOff>
      <xdr:row>44</xdr:row>
      <xdr:rowOff>199841</xdr:rowOff>
    </xdr:from>
    <xdr:to>
      <xdr:col>9</xdr:col>
      <xdr:colOff>519880</xdr:colOff>
      <xdr:row>57</xdr:row>
      <xdr:rowOff>72759</xdr:rowOff>
    </xdr:to>
    <xdr:graphicFrame macro="">
      <xdr:nvGraphicFramePr>
        <xdr:cNvPr id="5" name="Chart 4">
          <a:extLst>
            <a:ext uri="{FF2B5EF4-FFF2-40B4-BE49-F238E27FC236}">
              <a16:creationId xmlns:a16="http://schemas.microsoft.com/office/drawing/2014/main" id="{264AA60A-1E6D-504E-D50D-A4287E5F79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12291</xdr:colOff>
      <xdr:row>82</xdr:row>
      <xdr:rowOff>215081</xdr:rowOff>
    </xdr:from>
    <xdr:to>
      <xdr:col>9</xdr:col>
      <xdr:colOff>245808</xdr:colOff>
      <xdr:row>94</xdr:row>
      <xdr:rowOff>24581</xdr:rowOff>
    </xdr:to>
    <xdr:graphicFrame macro="">
      <xdr:nvGraphicFramePr>
        <xdr:cNvPr id="4" name="Chart 3">
          <a:extLst>
            <a:ext uri="{FF2B5EF4-FFF2-40B4-BE49-F238E27FC236}">
              <a16:creationId xmlns:a16="http://schemas.microsoft.com/office/drawing/2014/main" id="{4030EA10-BD41-C55A-26D7-B19A317F84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165920</xdr:colOff>
      <xdr:row>96</xdr:row>
      <xdr:rowOff>178209</xdr:rowOff>
    </xdr:from>
    <xdr:to>
      <xdr:col>9</xdr:col>
      <xdr:colOff>282678</xdr:colOff>
      <xdr:row>107</xdr:row>
      <xdr:rowOff>111842</xdr:rowOff>
    </xdr:to>
    <xdr:graphicFrame macro="">
      <xdr:nvGraphicFramePr>
        <xdr:cNvPr id="6" name="Chart 5">
          <a:extLst>
            <a:ext uri="{FF2B5EF4-FFF2-40B4-BE49-F238E27FC236}">
              <a16:creationId xmlns:a16="http://schemas.microsoft.com/office/drawing/2014/main" id="{9D9C4E70-9F5D-6346-30CA-B6076EC94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64</xdr:row>
      <xdr:rowOff>0</xdr:rowOff>
    </xdr:from>
    <xdr:to>
      <xdr:col>13</xdr:col>
      <xdr:colOff>2301731</xdr:colOff>
      <xdr:row>81</xdr:row>
      <xdr:rowOff>173048</xdr:rowOff>
    </xdr:to>
    <xdr:grpSp>
      <xdr:nvGrpSpPr>
        <xdr:cNvPr id="10" name="Group 9">
          <a:extLst>
            <a:ext uri="{FF2B5EF4-FFF2-40B4-BE49-F238E27FC236}">
              <a16:creationId xmlns:a16="http://schemas.microsoft.com/office/drawing/2014/main" id="{1C1846FA-3748-4151-97E2-098672CAE9B0}"/>
            </a:ext>
          </a:extLst>
        </xdr:cNvPr>
        <xdr:cNvGrpSpPr/>
      </xdr:nvGrpSpPr>
      <xdr:grpSpPr>
        <a:xfrm>
          <a:off x="5167313" y="12223750"/>
          <a:ext cx="7564293" cy="3276611"/>
          <a:chOff x="6423659" y="3756660"/>
          <a:chExt cx="6812280" cy="3307080"/>
        </a:xfrm>
      </xdr:grpSpPr>
      <xdr:sp macro="" textlink="">
        <xdr:nvSpPr>
          <xdr:cNvPr id="11" name="Rectangle: Rounded Corners 10">
            <a:extLst>
              <a:ext uri="{FF2B5EF4-FFF2-40B4-BE49-F238E27FC236}">
                <a16:creationId xmlns:a16="http://schemas.microsoft.com/office/drawing/2014/main" id="{9A50E4C1-F181-E71A-D21E-9CB8DB8AE505}"/>
              </a:ext>
            </a:extLst>
          </xdr:cNvPr>
          <xdr:cNvSpPr/>
        </xdr:nvSpPr>
        <xdr:spPr>
          <a:xfrm>
            <a:off x="6423659" y="3756660"/>
            <a:ext cx="6812280" cy="3307080"/>
          </a:xfrm>
          <a:prstGeom prst="roundRect">
            <a:avLst/>
          </a:prstGeom>
          <a:solidFill>
            <a:srgbClr val="14A3C7"/>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aphicFrame macro="">
        <xdr:nvGraphicFramePr>
          <xdr:cNvPr id="12" name="Chart 11">
            <a:extLst>
              <a:ext uri="{FF2B5EF4-FFF2-40B4-BE49-F238E27FC236}">
                <a16:creationId xmlns:a16="http://schemas.microsoft.com/office/drawing/2014/main" id="{26D3A116-E1A1-95A1-8304-D80A3DEA6D2B}"/>
              </a:ext>
            </a:extLst>
          </xdr:cNvPr>
          <xdr:cNvGraphicFramePr>
            <a:graphicFrameLocks/>
          </xdr:cNvGraphicFramePr>
        </xdr:nvGraphicFramePr>
        <xdr:xfrm>
          <a:off x="6576059" y="3832860"/>
          <a:ext cx="6540098" cy="313944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60960</xdr:colOff>
      <xdr:row>0</xdr:row>
      <xdr:rowOff>76200</xdr:rowOff>
    </xdr:from>
    <xdr:to>
      <xdr:col>1</xdr:col>
      <xdr:colOff>457200</xdr:colOff>
      <xdr:row>5</xdr:row>
      <xdr:rowOff>76200</xdr:rowOff>
    </xdr:to>
    <xdr:sp macro="" textlink="">
      <xdr:nvSpPr>
        <xdr:cNvPr id="12" name="Rectangle: Rounded Corners 11">
          <a:extLst>
            <a:ext uri="{FF2B5EF4-FFF2-40B4-BE49-F238E27FC236}">
              <a16:creationId xmlns:a16="http://schemas.microsoft.com/office/drawing/2014/main" id="{0ADE5CCB-5358-2ED7-497E-75BB543B4812}"/>
            </a:ext>
          </a:extLst>
        </xdr:cNvPr>
        <xdr:cNvSpPr/>
      </xdr:nvSpPr>
      <xdr:spPr>
        <a:xfrm>
          <a:off x="60960" y="76200"/>
          <a:ext cx="1005840" cy="914400"/>
        </a:xfrm>
        <a:prstGeom prst="roundRect">
          <a:avLst/>
        </a:prstGeom>
        <a:solidFill>
          <a:srgbClr val="3BD3CC"/>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114300</xdr:colOff>
      <xdr:row>0</xdr:row>
      <xdr:rowOff>30480</xdr:rowOff>
    </xdr:from>
    <xdr:to>
      <xdr:col>1</xdr:col>
      <xdr:colOff>457200</xdr:colOff>
      <xdr:row>5</xdr:row>
      <xdr:rowOff>68580</xdr:rowOff>
    </xdr:to>
    <xdr:pic>
      <xdr:nvPicPr>
        <xdr:cNvPr id="18" name="Graphic 17" descr="Bar graph with downward trend outline">
          <a:extLst>
            <a:ext uri="{FF2B5EF4-FFF2-40B4-BE49-F238E27FC236}">
              <a16:creationId xmlns:a16="http://schemas.microsoft.com/office/drawing/2014/main" id="{D85516E4-A30D-053F-B1E8-C410BB73529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30480"/>
          <a:ext cx="952500" cy="952500"/>
        </a:xfrm>
        <a:prstGeom prst="rect">
          <a:avLst/>
        </a:prstGeom>
      </xdr:spPr>
    </xdr:pic>
    <xdr:clientData/>
  </xdr:twoCellAnchor>
  <xdr:oneCellAnchor>
    <xdr:from>
      <xdr:col>14</xdr:col>
      <xdr:colOff>365760</xdr:colOff>
      <xdr:row>14</xdr:row>
      <xdr:rowOff>38100</xdr:rowOff>
    </xdr:from>
    <xdr:ext cx="184731" cy="264560"/>
    <xdr:sp macro="" textlink="">
      <xdr:nvSpPr>
        <xdr:cNvPr id="46" name="TextBox 45">
          <a:extLst>
            <a:ext uri="{FF2B5EF4-FFF2-40B4-BE49-F238E27FC236}">
              <a16:creationId xmlns:a16="http://schemas.microsoft.com/office/drawing/2014/main" id="{0121B560-D401-D754-7FE0-4242E110E01A}"/>
            </a:ext>
          </a:extLst>
        </xdr:cNvPr>
        <xdr:cNvSpPr txBox="1"/>
      </xdr:nvSpPr>
      <xdr:spPr>
        <a:xfrm>
          <a:off x="8900160" y="25984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15</xdr:col>
      <xdr:colOff>434340</xdr:colOff>
      <xdr:row>11</xdr:row>
      <xdr:rowOff>68580</xdr:rowOff>
    </xdr:from>
    <xdr:ext cx="184731" cy="264560"/>
    <xdr:sp macro="" textlink="">
      <xdr:nvSpPr>
        <xdr:cNvPr id="47" name="TextBox 46">
          <a:extLst>
            <a:ext uri="{FF2B5EF4-FFF2-40B4-BE49-F238E27FC236}">
              <a16:creationId xmlns:a16="http://schemas.microsoft.com/office/drawing/2014/main" id="{9992B6BC-129B-136D-C04A-C2468D29B0FB}"/>
            </a:ext>
          </a:extLst>
        </xdr:cNvPr>
        <xdr:cNvSpPr txBox="1"/>
      </xdr:nvSpPr>
      <xdr:spPr>
        <a:xfrm>
          <a:off x="9578340" y="20802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7</xdr:col>
      <xdr:colOff>358140</xdr:colOff>
      <xdr:row>12</xdr:row>
      <xdr:rowOff>83820</xdr:rowOff>
    </xdr:from>
    <xdr:ext cx="184731" cy="264560"/>
    <xdr:sp macro="" textlink="">
      <xdr:nvSpPr>
        <xdr:cNvPr id="48" name="TextBox 47">
          <a:extLst>
            <a:ext uri="{FF2B5EF4-FFF2-40B4-BE49-F238E27FC236}">
              <a16:creationId xmlns:a16="http://schemas.microsoft.com/office/drawing/2014/main" id="{86A8576F-0E10-8D8F-B8D4-515BE9695BC7}"/>
            </a:ext>
          </a:extLst>
        </xdr:cNvPr>
        <xdr:cNvSpPr txBox="1"/>
      </xdr:nvSpPr>
      <xdr:spPr>
        <a:xfrm>
          <a:off x="4625340" y="22783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0</xdr:col>
      <xdr:colOff>419100</xdr:colOff>
      <xdr:row>11</xdr:row>
      <xdr:rowOff>53340</xdr:rowOff>
    </xdr:from>
    <xdr:to>
      <xdr:col>5</xdr:col>
      <xdr:colOff>121920</xdr:colOff>
      <xdr:row>17</xdr:row>
      <xdr:rowOff>52160</xdr:rowOff>
    </xdr:to>
    <xdr:grpSp>
      <xdr:nvGrpSpPr>
        <xdr:cNvPr id="82" name="Group 81">
          <a:extLst>
            <a:ext uri="{FF2B5EF4-FFF2-40B4-BE49-F238E27FC236}">
              <a16:creationId xmlns:a16="http://schemas.microsoft.com/office/drawing/2014/main" id="{44D0B2C8-EF65-4BB7-25FF-19042C1690E2}"/>
            </a:ext>
          </a:extLst>
        </xdr:cNvPr>
        <xdr:cNvGrpSpPr/>
      </xdr:nvGrpSpPr>
      <xdr:grpSpPr>
        <a:xfrm>
          <a:off x="419100" y="2116602"/>
          <a:ext cx="2750820" cy="1124235"/>
          <a:chOff x="7513320" y="1188720"/>
          <a:chExt cx="2750820" cy="1096100"/>
        </a:xfrm>
      </xdr:grpSpPr>
      <xdr:sp macro="" textlink="">
        <xdr:nvSpPr>
          <xdr:cNvPr id="74" name="Rectangle: Rounded Corners 73">
            <a:extLst>
              <a:ext uri="{FF2B5EF4-FFF2-40B4-BE49-F238E27FC236}">
                <a16:creationId xmlns:a16="http://schemas.microsoft.com/office/drawing/2014/main" id="{80E57FA2-D097-833B-DF88-D5D416C7D32A}"/>
              </a:ext>
            </a:extLst>
          </xdr:cNvPr>
          <xdr:cNvSpPr/>
        </xdr:nvSpPr>
        <xdr:spPr>
          <a:xfrm>
            <a:off x="1325880" y="2202180"/>
            <a:ext cx="1645920" cy="640080"/>
          </a:xfrm>
          <a:prstGeom prst="roundRect">
            <a:avLst/>
          </a:prstGeom>
          <a:solidFill>
            <a:srgbClr val="80800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Segoe UI" panose="020B0502040204020203" pitchFamily="34" charset="0"/>
                <a:cs typeface="Segoe UI" panose="020B0502040204020203" pitchFamily="34" charset="0"/>
              </a:rPr>
              <a:t>No.</a:t>
            </a:r>
            <a:r>
              <a:rPr lang="en-US" sz="1400" b="1" baseline="0">
                <a:latin typeface="Segoe UI" panose="020B0502040204020203" pitchFamily="34" charset="0"/>
                <a:cs typeface="Segoe UI" panose="020B0502040204020203" pitchFamily="34" charset="0"/>
              </a:rPr>
              <a:t> of Customer</a:t>
            </a:r>
            <a:endParaRPr lang="en-US" sz="1400" b="1">
              <a:latin typeface="Segoe UI" panose="020B0502040204020203" pitchFamily="34" charset="0"/>
              <a:cs typeface="Segoe UI" panose="020B0502040204020203" pitchFamily="34" charset="0"/>
            </a:endParaRPr>
          </a:p>
        </xdr:txBody>
      </xdr:sp>
      <xdr:sp macro="" textlink="KPIs!J3">
        <xdr:nvSpPr>
          <xdr:cNvPr id="75" name="TextBox 74">
            <a:extLst>
              <a:ext uri="{FF2B5EF4-FFF2-40B4-BE49-F238E27FC236}">
                <a16:creationId xmlns:a16="http://schemas.microsoft.com/office/drawing/2014/main" id="{19C6B119-B9F3-2FFD-FA65-467D505470DE}"/>
              </a:ext>
            </a:extLst>
          </xdr:cNvPr>
          <xdr:cNvSpPr txBox="1"/>
        </xdr:nvSpPr>
        <xdr:spPr>
          <a:xfrm>
            <a:off x="220980" y="2796540"/>
            <a:ext cx="538737" cy="5017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8507ECA7-A3BD-43F2-A0E6-9C76DDC41F2C}" type="TxLink">
              <a:rPr lang="en-US" sz="2400" b="1" i="0" u="none" strike="noStrike">
                <a:solidFill>
                  <a:schemeClr val="bg1"/>
                </a:solidFill>
                <a:latin typeface="Segoe UI" panose="020B0502040204020203" pitchFamily="34" charset="0"/>
                <a:ea typeface="Calibri"/>
                <a:cs typeface="Segoe UI" panose="020B0502040204020203" pitchFamily="34" charset="0"/>
              </a:rPr>
              <a:pPr/>
              <a:t>14</a:t>
            </a:fld>
            <a:endParaRPr lang="en-US" sz="2400" b="1">
              <a:solidFill>
                <a:schemeClr val="bg1"/>
              </a:solidFill>
              <a:latin typeface="Segoe UI" panose="020B0502040204020203" pitchFamily="34" charset="0"/>
              <a:cs typeface="Segoe UI" panose="020B0502040204020203" pitchFamily="34" charset="0"/>
            </a:endParaRPr>
          </a:p>
        </xdr:txBody>
      </xdr:sp>
    </xdr:grpSp>
    <xdr:clientData/>
  </xdr:twoCellAnchor>
  <xdr:twoCellAnchor>
    <xdr:from>
      <xdr:col>2</xdr:col>
      <xdr:colOff>22859</xdr:colOff>
      <xdr:row>0</xdr:row>
      <xdr:rowOff>11723</xdr:rowOff>
    </xdr:from>
    <xdr:to>
      <xdr:col>36</xdr:col>
      <xdr:colOff>492368</xdr:colOff>
      <xdr:row>5</xdr:row>
      <xdr:rowOff>116154</xdr:rowOff>
    </xdr:to>
    <xdr:grpSp>
      <xdr:nvGrpSpPr>
        <xdr:cNvPr id="41" name="Group 40">
          <a:extLst>
            <a:ext uri="{FF2B5EF4-FFF2-40B4-BE49-F238E27FC236}">
              <a16:creationId xmlns:a16="http://schemas.microsoft.com/office/drawing/2014/main" id="{1F14FBB6-506D-3459-D879-5B21B659E0F5}"/>
            </a:ext>
          </a:extLst>
        </xdr:cNvPr>
        <xdr:cNvGrpSpPr/>
      </xdr:nvGrpSpPr>
      <xdr:grpSpPr>
        <a:xfrm>
          <a:off x="1242059" y="11723"/>
          <a:ext cx="21195909" cy="1042277"/>
          <a:chOff x="1242059" y="11723"/>
          <a:chExt cx="21195909" cy="1042277"/>
        </a:xfrm>
      </xdr:grpSpPr>
      <xdr:sp macro="" textlink="">
        <xdr:nvSpPr>
          <xdr:cNvPr id="13" name="Rectangle: Rounded Corners 12">
            <a:extLst>
              <a:ext uri="{FF2B5EF4-FFF2-40B4-BE49-F238E27FC236}">
                <a16:creationId xmlns:a16="http://schemas.microsoft.com/office/drawing/2014/main" id="{103026DF-F760-C202-18B8-78CF4FACEACB}"/>
              </a:ext>
            </a:extLst>
          </xdr:cNvPr>
          <xdr:cNvSpPr/>
        </xdr:nvSpPr>
        <xdr:spPr>
          <a:xfrm>
            <a:off x="1242059" y="83820"/>
            <a:ext cx="21195909" cy="937846"/>
          </a:xfrm>
          <a:prstGeom prst="roundRect">
            <a:avLst/>
          </a:prstGeom>
          <a:solidFill>
            <a:srgbClr val="3BD3CC"/>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latin typeface="Segoe UI" panose="020B0502040204020203" pitchFamily="34" charset="0"/>
                <a:cs typeface="Segoe UI" panose="020B0502040204020203" pitchFamily="34" charset="0"/>
              </a:rPr>
              <a:t>SALES DASHBOARD</a:t>
            </a:r>
          </a:p>
        </xdr:txBody>
      </xdr:sp>
      <xdr:grpSp>
        <xdr:nvGrpSpPr>
          <xdr:cNvPr id="16" name="Group 15">
            <a:extLst>
              <a:ext uri="{FF2B5EF4-FFF2-40B4-BE49-F238E27FC236}">
                <a16:creationId xmlns:a16="http://schemas.microsoft.com/office/drawing/2014/main" id="{F7519639-5192-78DA-61A8-7987388DA27C}"/>
              </a:ext>
            </a:extLst>
          </xdr:cNvPr>
          <xdr:cNvGrpSpPr/>
        </xdr:nvGrpSpPr>
        <xdr:grpSpPr>
          <a:xfrm>
            <a:off x="11894305" y="56017"/>
            <a:ext cx="3005726" cy="997983"/>
            <a:chOff x="11894305" y="56017"/>
            <a:chExt cx="3005726" cy="997983"/>
          </a:xfrm>
        </xdr:grpSpPr>
        <xdr:sp macro="" textlink="">
          <xdr:nvSpPr>
            <xdr:cNvPr id="37" name="Rectangle: Rounded Corners 36">
              <a:extLst>
                <a:ext uri="{FF2B5EF4-FFF2-40B4-BE49-F238E27FC236}">
                  <a16:creationId xmlns:a16="http://schemas.microsoft.com/office/drawing/2014/main" id="{9BFE6A70-F800-26BD-B9C5-70B4E8D1777D}"/>
                </a:ext>
              </a:extLst>
            </xdr:cNvPr>
            <xdr:cNvSpPr/>
          </xdr:nvSpPr>
          <xdr:spPr>
            <a:xfrm>
              <a:off x="11894305" y="56017"/>
              <a:ext cx="3005726" cy="985578"/>
            </a:xfrm>
            <a:prstGeom prst="roundRect">
              <a:avLst/>
            </a:prstGeom>
            <a:solidFill>
              <a:srgbClr val="80800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Segoe UI" panose="020B0502040204020203" pitchFamily="34" charset="0"/>
                  <a:cs typeface="Segoe UI" panose="020B0502040204020203" pitchFamily="34" charset="0"/>
                </a:rPr>
                <a:t>No.</a:t>
              </a:r>
              <a:r>
                <a:rPr lang="en-US" sz="1400" b="1" baseline="0">
                  <a:latin typeface="Segoe UI" panose="020B0502040204020203" pitchFamily="34" charset="0"/>
                  <a:cs typeface="Segoe UI" panose="020B0502040204020203" pitchFamily="34" charset="0"/>
                </a:rPr>
                <a:t> of Sales Rep</a:t>
              </a:r>
            </a:p>
            <a:p>
              <a:pPr algn="ctr"/>
              <a:r>
                <a:rPr lang="en-US" sz="1400" b="1">
                  <a:latin typeface="Segoe UI" panose="020B0502040204020203" pitchFamily="34" charset="0"/>
                  <a:cs typeface="Segoe UI" panose="020B0502040204020203" pitchFamily="34" charset="0"/>
                </a:rPr>
                <a:t> </a:t>
              </a:r>
            </a:p>
          </xdr:txBody>
        </xdr:sp>
        <xdr:sp macro="" textlink="KPIs!D3">
          <xdr:nvSpPr>
            <xdr:cNvPr id="38" name="TextBox 37">
              <a:extLst>
                <a:ext uri="{FF2B5EF4-FFF2-40B4-BE49-F238E27FC236}">
                  <a16:creationId xmlns:a16="http://schemas.microsoft.com/office/drawing/2014/main" id="{30AF29D5-B471-22FF-E12C-466245D7EFE6}"/>
                </a:ext>
              </a:extLst>
            </xdr:cNvPr>
            <xdr:cNvSpPr txBox="1"/>
          </xdr:nvSpPr>
          <xdr:spPr>
            <a:xfrm>
              <a:off x="12890895" y="371487"/>
              <a:ext cx="1128236" cy="6825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fld id="{3993D502-71CF-4008-99FB-76FCBE050C2A}" type="TxLink">
                <a:rPr lang="en-US" sz="2800" b="1" i="0" u="none" strike="noStrike">
                  <a:solidFill>
                    <a:schemeClr val="bg1"/>
                  </a:solidFill>
                  <a:latin typeface="Segoe UI" panose="020B0502040204020203" pitchFamily="34" charset="0"/>
                  <a:ea typeface="Calibri"/>
                  <a:cs typeface="Segoe UI" panose="020B0502040204020203" pitchFamily="34" charset="0"/>
                </a:rPr>
                <a:pPr algn="ctr"/>
                <a:t>10</a:t>
              </a:fld>
              <a:endParaRPr lang="en-US" sz="2800" b="1">
                <a:solidFill>
                  <a:schemeClr val="bg1"/>
                </a:solidFill>
                <a:latin typeface="Segoe UI" panose="020B0502040204020203" pitchFamily="34" charset="0"/>
                <a:cs typeface="Segoe UI" panose="020B0502040204020203" pitchFamily="34" charset="0"/>
              </a:endParaRPr>
            </a:p>
          </xdr:txBody>
        </xdr:sp>
      </xdr:grpSp>
      <xdr:grpSp>
        <xdr:nvGrpSpPr>
          <xdr:cNvPr id="5" name="Group 4">
            <a:extLst>
              <a:ext uri="{FF2B5EF4-FFF2-40B4-BE49-F238E27FC236}">
                <a16:creationId xmlns:a16="http://schemas.microsoft.com/office/drawing/2014/main" id="{7F8C57EE-9F80-CAD1-C3AF-D2DF4FAAC03B}"/>
              </a:ext>
            </a:extLst>
          </xdr:cNvPr>
          <xdr:cNvGrpSpPr/>
        </xdr:nvGrpSpPr>
        <xdr:grpSpPr>
          <a:xfrm>
            <a:off x="5099538" y="20849"/>
            <a:ext cx="3089824" cy="985578"/>
            <a:chOff x="5099538" y="20849"/>
            <a:chExt cx="3089824" cy="985578"/>
          </a:xfrm>
        </xdr:grpSpPr>
        <xdr:sp macro="" textlink="">
          <xdr:nvSpPr>
            <xdr:cNvPr id="32" name="Rectangle: Rounded Corners 31">
              <a:extLst>
                <a:ext uri="{FF2B5EF4-FFF2-40B4-BE49-F238E27FC236}">
                  <a16:creationId xmlns:a16="http://schemas.microsoft.com/office/drawing/2014/main" id="{AFF5C2E8-6FFF-D4B8-BCD5-2CAACDF9C666}"/>
                </a:ext>
              </a:extLst>
            </xdr:cNvPr>
            <xdr:cNvSpPr/>
          </xdr:nvSpPr>
          <xdr:spPr>
            <a:xfrm>
              <a:off x="5142687" y="20849"/>
              <a:ext cx="3046675" cy="985578"/>
            </a:xfrm>
            <a:prstGeom prst="roundRect">
              <a:avLst/>
            </a:prstGeom>
            <a:solidFill>
              <a:srgbClr val="80800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Segoe UI" panose="020B0502040204020203" pitchFamily="34" charset="0"/>
                  <a:cs typeface="Segoe UI" panose="020B0502040204020203" pitchFamily="34" charset="0"/>
                </a:rPr>
                <a:t>Total Revenue</a:t>
              </a:r>
            </a:p>
          </xdr:txBody>
        </xdr:sp>
        <xdr:sp macro="" textlink="KPIs!I10">
          <xdr:nvSpPr>
            <xdr:cNvPr id="57" name="TextBox 56">
              <a:extLst>
                <a:ext uri="{FF2B5EF4-FFF2-40B4-BE49-F238E27FC236}">
                  <a16:creationId xmlns:a16="http://schemas.microsoft.com/office/drawing/2014/main" id="{F316CFF3-C849-AE94-4F68-C39AEAF5CF8B}"/>
                </a:ext>
              </a:extLst>
            </xdr:cNvPr>
            <xdr:cNvSpPr txBox="1"/>
          </xdr:nvSpPr>
          <xdr:spPr>
            <a:xfrm>
              <a:off x="5944543" y="445478"/>
              <a:ext cx="1895048" cy="3353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501EA354-87E7-49F0-A97F-40DE809B6781}" type="TxLink">
                <a:rPr lang="en-US" sz="1400" b="1" i="0" u="none" strike="noStrike">
                  <a:solidFill>
                    <a:srgbClr val="FFFFFF"/>
                  </a:solidFill>
                  <a:latin typeface="Segoe UI" panose="020B0502040204020203" pitchFamily="34" charset="0"/>
                  <a:ea typeface="Calibri"/>
                  <a:cs typeface="Segoe UI" panose="020B0502040204020203" pitchFamily="34" charset="0"/>
                </a:rPr>
                <a:pPr/>
                <a:t> ₦217,575,000.00 </a:t>
              </a:fld>
              <a:endParaRPr lang="en-US" sz="1400" b="1">
                <a:latin typeface="Segoe UI" panose="020B0502040204020203" pitchFamily="34" charset="0"/>
                <a:cs typeface="Segoe UI" panose="020B0502040204020203" pitchFamily="34" charset="0"/>
              </a:endParaRPr>
            </a:p>
          </xdr:txBody>
        </xdr:sp>
        <xdr:pic>
          <xdr:nvPicPr>
            <xdr:cNvPr id="33" name="Graphic 32" descr="Coins outline">
              <a:extLst>
                <a:ext uri="{FF2B5EF4-FFF2-40B4-BE49-F238E27FC236}">
                  <a16:creationId xmlns:a16="http://schemas.microsoft.com/office/drawing/2014/main" id="{9291E5D8-830D-BF7C-39A1-E5718445933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5099538" y="166861"/>
              <a:ext cx="747919" cy="529292"/>
            </a:xfrm>
            <a:prstGeom prst="rect">
              <a:avLst/>
            </a:prstGeom>
          </xdr:spPr>
        </xdr:pic>
      </xdr:grpSp>
      <xdr:grpSp>
        <xdr:nvGrpSpPr>
          <xdr:cNvPr id="6" name="Group 5">
            <a:extLst>
              <a:ext uri="{FF2B5EF4-FFF2-40B4-BE49-F238E27FC236}">
                <a16:creationId xmlns:a16="http://schemas.microsoft.com/office/drawing/2014/main" id="{F4D08708-AA9D-04F8-16F5-59DE36C8B042}"/>
              </a:ext>
            </a:extLst>
          </xdr:cNvPr>
          <xdr:cNvGrpSpPr/>
        </xdr:nvGrpSpPr>
        <xdr:grpSpPr>
          <a:xfrm>
            <a:off x="8606890" y="11723"/>
            <a:ext cx="2974878" cy="985578"/>
            <a:chOff x="8606890" y="11723"/>
            <a:chExt cx="2974878" cy="985578"/>
          </a:xfrm>
        </xdr:grpSpPr>
        <xdr:sp macro="" textlink="">
          <xdr:nvSpPr>
            <xdr:cNvPr id="28" name="Rectangle: Rounded Corners 27">
              <a:extLst>
                <a:ext uri="{FF2B5EF4-FFF2-40B4-BE49-F238E27FC236}">
                  <a16:creationId xmlns:a16="http://schemas.microsoft.com/office/drawing/2014/main" id="{0F81B9C1-C6D2-DF90-6A07-B0E56EAA1B59}"/>
                </a:ext>
              </a:extLst>
            </xdr:cNvPr>
            <xdr:cNvSpPr/>
          </xdr:nvSpPr>
          <xdr:spPr>
            <a:xfrm>
              <a:off x="8606890" y="11723"/>
              <a:ext cx="2905171" cy="985578"/>
            </a:xfrm>
            <a:prstGeom prst="roundRect">
              <a:avLst/>
            </a:prstGeom>
            <a:solidFill>
              <a:srgbClr val="80800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solidFill>
                    <a:schemeClr val="bg1"/>
                  </a:solidFill>
                  <a:latin typeface="Segoe UI" panose="020B0502040204020203" pitchFamily="34" charset="0"/>
                  <a:cs typeface="Segoe UI" panose="020B0502040204020203" pitchFamily="34" charset="0"/>
                </a:rPr>
                <a:t>Avg.</a:t>
              </a:r>
              <a:r>
                <a:rPr lang="en-US" sz="1400" b="1" baseline="0">
                  <a:solidFill>
                    <a:schemeClr val="bg1"/>
                  </a:solidFill>
                  <a:latin typeface="Segoe UI" panose="020B0502040204020203" pitchFamily="34" charset="0"/>
                  <a:cs typeface="Segoe UI" panose="020B0502040204020203" pitchFamily="34" charset="0"/>
                </a:rPr>
                <a:t> </a:t>
              </a:r>
              <a:r>
                <a:rPr lang="en-US" sz="1400" b="1">
                  <a:solidFill>
                    <a:schemeClr val="bg1"/>
                  </a:solidFill>
                  <a:latin typeface="Segoe UI" panose="020B0502040204020203" pitchFamily="34" charset="0"/>
                  <a:cs typeface="Segoe UI" panose="020B0502040204020203" pitchFamily="34" charset="0"/>
                </a:rPr>
                <a:t>Revenue</a:t>
              </a:r>
            </a:p>
          </xdr:txBody>
        </xdr:sp>
        <xdr:sp macro="" textlink="KPIs!K15">
          <xdr:nvSpPr>
            <xdr:cNvPr id="63" name="TextBox 62">
              <a:extLst>
                <a:ext uri="{FF2B5EF4-FFF2-40B4-BE49-F238E27FC236}">
                  <a16:creationId xmlns:a16="http://schemas.microsoft.com/office/drawing/2014/main" id="{11AA00AD-EA6A-169C-92AF-8692714FCC4F}"/>
                </a:ext>
              </a:extLst>
            </xdr:cNvPr>
            <xdr:cNvSpPr txBox="1"/>
          </xdr:nvSpPr>
          <xdr:spPr>
            <a:xfrm>
              <a:off x="9590797" y="422032"/>
              <a:ext cx="1990971" cy="4242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60CB3005-DC34-44AA-87FD-82BE619F8FFF}" type="TxLink">
                <a:rPr lang="en-US" sz="1400" b="1" i="0" u="none" strike="noStrike">
                  <a:solidFill>
                    <a:schemeClr val="bg1"/>
                  </a:solidFill>
                  <a:latin typeface="Segoe UI" panose="020B0502040204020203" pitchFamily="34" charset="0"/>
                  <a:ea typeface="Calibri"/>
                  <a:cs typeface="Segoe UI" panose="020B0502040204020203" pitchFamily="34" charset="0"/>
                </a:rPr>
                <a:pPr/>
                <a:t> ₦2,175,750.00 </a:t>
              </a:fld>
              <a:endParaRPr lang="en-US" sz="1400" b="1">
                <a:solidFill>
                  <a:schemeClr val="bg1"/>
                </a:solidFill>
                <a:latin typeface="Segoe UI" panose="020B0502040204020203" pitchFamily="34" charset="0"/>
                <a:cs typeface="Segoe UI" panose="020B0502040204020203" pitchFamily="34" charset="0"/>
              </a:endParaRPr>
            </a:p>
          </xdr:txBody>
        </xdr:sp>
        <xdr:pic>
          <xdr:nvPicPr>
            <xdr:cNvPr id="67" name="Graphic 66" descr="Coins outline">
              <a:extLst>
                <a:ext uri="{FF2B5EF4-FFF2-40B4-BE49-F238E27FC236}">
                  <a16:creationId xmlns:a16="http://schemas.microsoft.com/office/drawing/2014/main" id="{0F5A6C25-F190-E7AB-DA52-3B57D9D3A62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757610" y="239866"/>
              <a:ext cx="747919" cy="547543"/>
            </a:xfrm>
            <a:prstGeom prst="rect">
              <a:avLst/>
            </a:prstGeom>
          </xdr:spPr>
        </xdr:pic>
      </xdr:grpSp>
      <xdr:grpSp>
        <xdr:nvGrpSpPr>
          <xdr:cNvPr id="9" name="Group 8">
            <a:extLst>
              <a:ext uri="{FF2B5EF4-FFF2-40B4-BE49-F238E27FC236}">
                <a16:creationId xmlns:a16="http://schemas.microsoft.com/office/drawing/2014/main" id="{DA67F8F3-02CE-51DD-FF03-0FBC967A8FC0}"/>
              </a:ext>
            </a:extLst>
          </xdr:cNvPr>
          <xdr:cNvGrpSpPr/>
        </xdr:nvGrpSpPr>
        <xdr:grpSpPr>
          <a:xfrm>
            <a:off x="18627842" y="35168"/>
            <a:ext cx="2884002" cy="985577"/>
            <a:chOff x="18627842" y="35168"/>
            <a:chExt cx="2884002" cy="985577"/>
          </a:xfrm>
        </xdr:grpSpPr>
        <xdr:sp macro="" textlink="">
          <xdr:nvSpPr>
            <xdr:cNvPr id="72" name="Rectangle: Rounded Corners 71">
              <a:extLst>
                <a:ext uri="{FF2B5EF4-FFF2-40B4-BE49-F238E27FC236}">
                  <a16:creationId xmlns:a16="http://schemas.microsoft.com/office/drawing/2014/main" id="{DC5E416D-AA8C-CA56-2EE4-B749D6065703}"/>
                </a:ext>
              </a:extLst>
            </xdr:cNvPr>
            <xdr:cNvSpPr/>
          </xdr:nvSpPr>
          <xdr:spPr>
            <a:xfrm>
              <a:off x="18627842" y="35168"/>
              <a:ext cx="2884002" cy="985577"/>
            </a:xfrm>
            <a:prstGeom prst="roundRect">
              <a:avLst/>
            </a:prstGeom>
            <a:solidFill>
              <a:srgbClr val="80800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Segoe UI" panose="020B0502040204020203" pitchFamily="34" charset="0"/>
                  <a:cs typeface="Segoe UI" panose="020B0502040204020203" pitchFamily="34" charset="0"/>
                </a:rPr>
                <a:t>No.</a:t>
              </a:r>
              <a:r>
                <a:rPr lang="en-US" sz="1400" b="1" baseline="0">
                  <a:latin typeface="Segoe UI" panose="020B0502040204020203" pitchFamily="34" charset="0"/>
                  <a:cs typeface="Segoe UI" panose="020B0502040204020203" pitchFamily="34" charset="0"/>
                </a:rPr>
                <a:t> of Product</a:t>
              </a:r>
              <a:endParaRPr lang="en-US" sz="1400" b="1">
                <a:latin typeface="Segoe UI" panose="020B0502040204020203" pitchFamily="34" charset="0"/>
                <a:cs typeface="Segoe UI" panose="020B0502040204020203" pitchFamily="34" charset="0"/>
              </a:endParaRPr>
            </a:p>
          </xdr:txBody>
        </xdr:sp>
        <xdr:sp macro="" textlink="KPIs!D10">
          <xdr:nvSpPr>
            <xdr:cNvPr id="77" name="TextBox 76">
              <a:extLst>
                <a:ext uri="{FF2B5EF4-FFF2-40B4-BE49-F238E27FC236}">
                  <a16:creationId xmlns:a16="http://schemas.microsoft.com/office/drawing/2014/main" id="{8C4D0692-A061-2FBF-CDCB-5FAFFBCB0F6C}"/>
                </a:ext>
              </a:extLst>
            </xdr:cNvPr>
            <xdr:cNvSpPr txBox="1"/>
          </xdr:nvSpPr>
          <xdr:spPr>
            <a:xfrm>
              <a:off x="19937304" y="371737"/>
              <a:ext cx="682727" cy="60088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9020D085-6C0A-4E17-A7F7-0135F96F210A}" type="TxLink">
                <a:rPr lang="en-US" sz="2400" b="1" i="0" u="none" strike="noStrike">
                  <a:solidFill>
                    <a:schemeClr val="bg1"/>
                  </a:solidFill>
                  <a:latin typeface="Segoe UI" panose="020B0502040204020203" pitchFamily="34" charset="0"/>
                  <a:ea typeface="Calibri"/>
                  <a:cs typeface="Segoe UI" panose="020B0502040204020203" pitchFamily="34" charset="0"/>
                </a:rPr>
                <a:pPr/>
                <a:t>7</a:t>
              </a:fld>
              <a:endParaRPr lang="en-US" sz="2400" b="1">
                <a:solidFill>
                  <a:schemeClr val="bg1"/>
                </a:solidFill>
                <a:latin typeface="Segoe UI" panose="020B0502040204020203" pitchFamily="34" charset="0"/>
                <a:cs typeface="Segoe UI" panose="020B0502040204020203" pitchFamily="34" charset="0"/>
              </a:endParaRPr>
            </a:p>
          </xdr:txBody>
        </xdr:sp>
      </xdr:grpSp>
      <xdr:grpSp>
        <xdr:nvGrpSpPr>
          <xdr:cNvPr id="151" name="Group 150">
            <a:extLst>
              <a:ext uri="{FF2B5EF4-FFF2-40B4-BE49-F238E27FC236}">
                <a16:creationId xmlns:a16="http://schemas.microsoft.com/office/drawing/2014/main" id="{D25A029E-8A48-176E-5C25-EC303A25A109}"/>
              </a:ext>
            </a:extLst>
          </xdr:cNvPr>
          <xdr:cNvGrpSpPr/>
        </xdr:nvGrpSpPr>
        <xdr:grpSpPr>
          <a:xfrm>
            <a:off x="15287658" y="58616"/>
            <a:ext cx="2941727" cy="994703"/>
            <a:chOff x="10024971" y="191556"/>
            <a:chExt cx="1558497" cy="830580"/>
          </a:xfrm>
        </xdr:grpSpPr>
        <xdr:sp macro="" textlink="">
          <xdr:nvSpPr>
            <xdr:cNvPr id="60" name="Rectangle: Rounded Corners 59">
              <a:extLst>
                <a:ext uri="{FF2B5EF4-FFF2-40B4-BE49-F238E27FC236}">
                  <a16:creationId xmlns:a16="http://schemas.microsoft.com/office/drawing/2014/main" id="{2FB272A4-AE47-1E28-E96D-1350903655E6}"/>
                </a:ext>
              </a:extLst>
            </xdr:cNvPr>
            <xdr:cNvSpPr/>
          </xdr:nvSpPr>
          <xdr:spPr>
            <a:xfrm>
              <a:off x="10024971" y="191556"/>
              <a:ext cx="1558497" cy="830580"/>
            </a:xfrm>
            <a:prstGeom prst="roundRect">
              <a:avLst/>
            </a:prstGeom>
            <a:solidFill>
              <a:srgbClr val="808000"/>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Segoe UI" panose="020B0502040204020203" pitchFamily="34" charset="0"/>
                  <a:cs typeface="Segoe UI" panose="020B0502040204020203" pitchFamily="34" charset="0"/>
                </a:rPr>
                <a:t>No.</a:t>
              </a:r>
              <a:r>
                <a:rPr lang="en-US" sz="1400" b="1" baseline="0">
                  <a:latin typeface="Segoe UI" panose="020B0502040204020203" pitchFamily="34" charset="0"/>
                  <a:cs typeface="Segoe UI" panose="020B0502040204020203" pitchFamily="34" charset="0"/>
                </a:rPr>
                <a:t> of Customer</a:t>
              </a:r>
            </a:p>
            <a:p>
              <a:pPr algn="ctr"/>
              <a:r>
                <a:rPr lang="en-US" sz="1400" b="1">
                  <a:latin typeface="Segoe UI" panose="020B0502040204020203" pitchFamily="34" charset="0"/>
                  <a:cs typeface="Segoe UI" panose="020B0502040204020203" pitchFamily="34" charset="0"/>
                </a:rPr>
                <a:t> </a:t>
              </a:r>
            </a:p>
          </xdr:txBody>
        </xdr:sp>
        <xdr:sp macro="" textlink="KPIs!J3">
          <xdr:nvSpPr>
            <xdr:cNvPr id="83" name="TextBox 82">
              <a:extLst>
                <a:ext uri="{FF2B5EF4-FFF2-40B4-BE49-F238E27FC236}">
                  <a16:creationId xmlns:a16="http://schemas.microsoft.com/office/drawing/2014/main" id="{D6147D84-5293-0B15-9D4D-2EA4E0A29FED}"/>
                </a:ext>
              </a:extLst>
            </xdr:cNvPr>
            <xdr:cNvSpPr txBox="1"/>
          </xdr:nvSpPr>
          <xdr:spPr>
            <a:xfrm>
              <a:off x="10709519" y="573553"/>
              <a:ext cx="479747" cy="433452"/>
            </a:xfrm>
            <a:prstGeom prst="rect">
              <a:avLst/>
            </a:prstGeom>
            <a:noFill/>
            <a:effectLst>
              <a:outerShdw blurRad="50800" dist="50800" dir="5400000" sx="2000" sy="2000" algn="ctr" rotWithShape="0">
                <a:srgbClr val="000000">
                  <a:alpha val="43137"/>
                </a:srgbClr>
              </a:outerShdw>
            </a:effectLst>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fld id="{C74B9D52-A2E2-47B2-8C68-1E4C6932D92D}" type="TxLink">
                <a:rPr lang="en-US" sz="2000" b="1" i="0" u="none" strike="noStrike">
                  <a:solidFill>
                    <a:schemeClr val="bg1"/>
                  </a:solidFill>
                  <a:latin typeface="Segoe UI" panose="020B0502040204020203" pitchFamily="34" charset="0"/>
                  <a:ea typeface="Calibri"/>
                  <a:cs typeface="Segoe UI" panose="020B0502040204020203" pitchFamily="34" charset="0"/>
                </a:rPr>
                <a:pPr/>
                <a:t>14</a:t>
              </a:fld>
              <a:endParaRPr lang="en-US" sz="2000" b="1">
                <a:solidFill>
                  <a:schemeClr val="bg1"/>
                </a:solidFill>
                <a:latin typeface="Segoe UI" panose="020B0502040204020203" pitchFamily="34" charset="0"/>
                <a:cs typeface="Segoe UI" panose="020B0502040204020203" pitchFamily="34" charset="0"/>
              </a:endParaRPr>
            </a:p>
          </xdr:txBody>
        </xdr:sp>
      </xdr:grpSp>
    </xdr:grpSp>
    <xdr:clientData/>
  </xdr:twoCellAnchor>
  <xdr:twoCellAnchor>
    <xdr:from>
      <xdr:col>10</xdr:col>
      <xdr:colOff>487679</xdr:colOff>
      <xdr:row>6</xdr:row>
      <xdr:rowOff>50996</xdr:rowOff>
    </xdr:from>
    <xdr:to>
      <xdr:col>16</xdr:col>
      <xdr:colOff>480059</xdr:colOff>
      <xdr:row>21</xdr:row>
      <xdr:rowOff>140677</xdr:rowOff>
    </xdr:to>
    <xdr:grpSp>
      <xdr:nvGrpSpPr>
        <xdr:cNvPr id="180" name="Group 179">
          <a:extLst>
            <a:ext uri="{FF2B5EF4-FFF2-40B4-BE49-F238E27FC236}">
              <a16:creationId xmlns:a16="http://schemas.microsoft.com/office/drawing/2014/main" id="{03176DED-DB90-5CE8-6009-06A053D31211}"/>
            </a:ext>
          </a:extLst>
        </xdr:cNvPr>
        <xdr:cNvGrpSpPr/>
      </xdr:nvGrpSpPr>
      <xdr:grpSpPr>
        <a:xfrm>
          <a:off x="6583679" y="1176411"/>
          <a:ext cx="3649980" cy="2903220"/>
          <a:chOff x="7040880" y="1059180"/>
          <a:chExt cx="3649980" cy="2583180"/>
        </a:xfrm>
      </xdr:grpSpPr>
      <xdr:sp macro="" textlink="">
        <xdr:nvSpPr>
          <xdr:cNvPr id="4" name="Rectangle: Rounded Corners 3">
            <a:extLst>
              <a:ext uri="{FF2B5EF4-FFF2-40B4-BE49-F238E27FC236}">
                <a16:creationId xmlns:a16="http://schemas.microsoft.com/office/drawing/2014/main" id="{C9CA340B-FC7A-CB87-C334-EF9C55E7C561}"/>
              </a:ext>
            </a:extLst>
          </xdr:cNvPr>
          <xdr:cNvSpPr/>
        </xdr:nvSpPr>
        <xdr:spPr>
          <a:xfrm>
            <a:off x="7040880" y="1059180"/>
            <a:ext cx="3649980" cy="2583180"/>
          </a:xfrm>
          <a:prstGeom prst="roundRect">
            <a:avLst/>
          </a:prstGeom>
          <a:solidFill>
            <a:srgbClr val="3FBEC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a:latin typeface="Segoe UI" panose="020B0502040204020203" pitchFamily="34" charset="0"/>
              <a:cs typeface="Segoe UI" panose="020B0502040204020203" pitchFamily="34" charset="0"/>
            </a:endParaRPr>
          </a:p>
        </xdr:txBody>
      </xdr:sp>
      <xdr:graphicFrame macro="">
        <xdr:nvGraphicFramePr>
          <xdr:cNvPr id="7" name="Chart 6">
            <a:extLst>
              <a:ext uri="{FF2B5EF4-FFF2-40B4-BE49-F238E27FC236}">
                <a16:creationId xmlns:a16="http://schemas.microsoft.com/office/drawing/2014/main" id="{270077C9-6364-4611-BDCF-FAEF7EFE68AD}"/>
              </a:ext>
            </a:extLst>
          </xdr:cNvPr>
          <xdr:cNvGraphicFramePr>
            <a:graphicFrameLocks/>
          </xdr:cNvGraphicFramePr>
        </xdr:nvGraphicFramePr>
        <xdr:xfrm>
          <a:off x="7162800" y="1082040"/>
          <a:ext cx="3398520" cy="247650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10</xdr:col>
      <xdr:colOff>316523</xdr:colOff>
      <xdr:row>22</xdr:row>
      <xdr:rowOff>93784</xdr:rowOff>
    </xdr:from>
    <xdr:to>
      <xdr:col>24</xdr:col>
      <xdr:colOff>386862</xdr:colOff>
      <xdr:row>41</xdr:row>
      <xdr:rowOff>82062</xdr:rowOff>
    </xdr:to>
    <xdr:grpSp>
      <xdr:nvGrpSpPr>
        <xdr:cNvPr id="165" name="Group 164">
          <a:extLst>
            <a:ext uri="{FF2B5EF4-FFF2-40B4-BE49-F238E27FC236}">
              <a16:creationId xmlns:a16="http://schemas.microsoft.com/office/drawing/2014/main" id="{5678FFDB-9560-8197-146A-A059CFB49FE2}"/>
            </a:ext>
          </a:extLst>
        </xdr:cNvPr>
        <xdr:cNvGrpSpPr/>
      </xdr:nvGrpSpPr>
      <xdr:grpSpPr>
        <a:xfrm>
          <a:off x="6412523" y="4220307"/>
          <a:ext cx="8604739" cy="3552093"/>
          <a:chOff x="6423658" y="3756660"/>
          <a:chExt cx="8206741" cy="3307080"/>
        </a:xfrm>
      </xdr:grpSpPr>
      <xdr:sp macro="" textlink="">
        <xdr:nvSpPr>
          <xdr:cNvPr id="11" name="Rectangle: Rounded Corners 10">
            <a:extLst>
              <a:ext uri="{FF2B5EF4-FFF2-40B4-BE49-F238E27FC236}">
                <a16:creationId xmlns:a16="http://schemas.microsoft.com/office/drawing/2014/main" id="{802E45D4-DC10-6F0A-A349-31B047FB07BA}"/>
              </a:ext>
            </a:extLst>
          </xdr:cNvPr>
          <xdr:cNvSpPr/>
        </xdr:nvSpPr>
        <xdr:spPr>
          <a:xfrm>
            <a:off x="6423658" y="3756660"/>
            <a:ext cx="8206741" cy="3307080"/>
          </a:xfrm>
          <a:prstGeom prst="roundRect">
            <a:avLst/>
          </a:prstGeom>
          <a:solidFill>
            <a:srgbClr val="14A3C7"/>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graphicFrame macro="">
        <xdr:nvGraphicFramePr>
          <xdr:cNvPr id="19" name="Chart 18">
            <a:extLst>
              <a:ext uri="{FF2B5EF4-FFF2-40B4-BE49-F238E27FC236}">
                <a16:creationId xmlns:a16="http://schemas.microsoft.com/office/drawing/2014/main" id="{057EE7FB-1B22-4F4A-9F35-82CC0E2C20E8}"/>
              </a:ext>
            </a:extLst>
          </xdr:cNvPr>
          <xdr:cNvGraphicFramePr>
            <a:graphicFrameLocks/>
          </xdr:cNvGraphicFramePr>
        </xdr:nvGraphicFramePr>
        <xdr:xfrm>
          <a:off x="6576058" y="3832860"/>
          <a:ext cx="7955281" cy="3139440"/>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17</xdr:col>
      <xdr:colOff>30479</xdr:colOff>
      <xdr:row>6</xdr:row>
      <xdr:rowOff>34691</xdr:rowOff>
    </xdr:from>
    <xdr:to>
      <xdr:col>23</xdr:col>
      <xdr:colOff>164123</xdr:colOff>
      <xdr:row>21</xdr:row>
      <xdr:rowOff>152400</xdr:rowOff>
    </xdr:to>
    <xdr:grpSp>
      <xdr:nvGrpSpPr>
        <xdr:cNvPr id="179" name="Group 178">
          <a:extLst>
            <a:ext uri="{FF2B5EF4-FFF2-40B4-BE49-F238E27FC236}">
              <a16:creationId xmlns:a16="http://schemas.microsoft.com/office/drawing/2014/main" id="{54BD573A-0285-3210-8A14-949735B43E16}"/>
            </a:ext>
          </a:extLst>
        </xdr:cNvPr>
        <xdr:cNvGrpSpPr/>
      </xdr:nvGrpSpPr>
      <xdr:grpSpPr>
        <a:xfrm>
          <a:off x="10393679" y="1160106"/>
          <a:ext cx="3791244" cy="2931248"/>
          <a:chOff x="10850880" y="1042874"/>
          <a:chExt cx="3680460" cy="2584246"/>
        </a:xfrm>
      </xdr:grpSpPr>
      <xdr:sp macro="" textlink="">
        <xdr:nvSpPr>
          <xdr:cNvPr id="80" name="Rectangle: Rounded Corners 79">
            <a:extLst>
              <a:ext uri="{FF2B5EF4-FFF2-40B4-BE49-F238E27FC236}">
                <a16:creationId xmlns:a16="http://schemas.microsoft.com/office/drawing/2014/main" id="{A1DC13CA-B346-644E-B37D-F49FF5874EDC}"/>
              </a:ext>
            </a:extLst>
          </xdr:cNvPr>
          <xdr:cNvSpPr/>
        </xdr:nvSpPr>
        <xdr:spPr>
          <a:xfrm>
            <a:off x="10850880" y="1042874"/>
            <a:ext cx="3680460" cy="2584246"/>
          </a:xfrm>
          <a:prstGeom prst="roundRect">
            <a:avLst/>
          </a:prstGeom>
          <a:solidFill>
            <a:srgbClr val="14A3C7"/>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a:ln>
                <a:noFill/>
              </a:ln>
              <a:solidFill>
                <a:schemeClr val="bg1"/>
              </a:solidFill>
              <a:latin typeface="Segoe UI" panose="020B0502040204020203" pitchFamily="34" charset="0"/>
              <a:cs typeface="Segoe UI" panose="020B0502040204020203" pitchFamily="34" charset="0"/>
            </a:endParaRPr>
          </a:p>
        </xdr:txBody>
      </xdr:sp>
      <xdr:graphicFrame macro="">
        <xdr:nvGraphicFramePr>
          <xdr:cNvPr id="25" name="Chart 24">
            <a:extLst>
              <a:ext uri="{FF2B5EF4-FFF2-40B4-BE49-F238E27FC236}">
                <a16:creationId xmlns:a16="http://schemas.microsoft.com/office/drawing/2014/main" id="{A2CB104D-C053-4E9E-B0A0-FAD55D641913}"/>
              </a:ext>
            </a:extLst>
          </xdr:cNvPr>
          <xdr:cNvGraphicFramePr>
            <a:graphicFrameLocks/>
          </xdr:cNvGraphicFramePr>
        </xdr:nvGraphicFramePr>
        <xdr:xfrm>
          <a:off x="11011747" y="1072523"/>
          <a:ext cx="3345700" cy="2496889"/>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2</xdr:col>
      <xdr:colOff>234462</xdr:colOff>
      <xdr:row>6</xdr:row>
      <xdr:rowOff>31066</xdr:rowOff>
    </xdr:from>
    <xdr:to>
      <xdr:col>10</xdr:col>
      <xdr:colOff>330141</xdr:colOff>
      <xdr:row>21</xdr:row>
      <xdr:rowOff>93784</xdr:rowOff>
    </xdr:to>
    <xdr:grpSp>
      <xdr:nvGrpSpPr>
        <xdr:cNvPr id="2" name="Group 1">
          <a:extLst>
            <a:ext uri="{FF2B5EF4-FFF2-40B4-BE49-F238E27FC236}">
              <a16:creationId xmlns:a16="http://schemas.microsoft.com/office/drawing/2014/main" id="{DE98E76E-3D39-9C84-1374-6CB9F859EC54}"/>
            </a:ext>
          </a:extLst>
        </xdr:cNvPr>
        <xdr:cNvGrpSpPr/>
      </xdr:nvGrpSpPr>
      <xdr:grpSpPr>
        <a:xfrm>
          <a:off x="1453662" y="1156481"/>
          <a:ext cx="4972479" cy="2876257"/>
          <a:chOff x="1786861" y="1121312"/>
          <a:chExt cx="4967526" cy="2641209"/>
        </a:xfrm>
      </xdr:grpSpPr>
      <xdr:sp macro="" textlink="">
        <xdr:nvSpPr>
          <xdr:cNvPr id="89" name="Rectangle: Rounded Corners 88">
            <a:extLst>
              <a:ext uri="{FF2B5EF4-FFF2-40B4-BE49-F238E27FC236}">
                <a16:creationId xmlns:a16="http://schemas.microsoft.com/office/drawing/2014/main" id="{6FA432C6-FFAD-CF81-3221-76735AD7C2A1}"/>
              </a:ext>
            </a:extLst>
          </xdr:cNvPr>
          <xdr:cNvSpPr/>
        </xdr:nvSpPr>
        <xdr:spPr>
          <a:xfrm>
            <a:off x="1786861" y="1121312"/>
            <a:ext cx="4929289" cy="2641209"/>
          </a:xfrm>
          <a:prstGeom prst="roundRect">
            <a:avLst/>
          </a:prstGeom>
          <a:solidFill>
            <a:srgbClr val="3FBEC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a:latin typeface="Segoe UI" panose="020B0502040204020203" pitchFamily="34" charset="0"/>
              <a:cs typeface="Segoe UI" panose="020B0502040204020203" pitchFamily="34" charset="0"/>
            </a:endParaRPr>
          </a:p>
        </xdr:txBody>
      </xdr:sp>
      <xdr:graphicFrame macro="">
        <xdr:nvGraphicFramePr>
          <xdr:cNvPr id="29" name="Chart 28">
            <a:extLst>
              <a:ext uri="{FF2B5EF4-FFF2-40B4-BE49-F238E27FC236}">
                <a16:creationId xmlns:a16="http://schemas.microsoft.com/office/drawing/2014/main" id="{D6E76B1C-1F44-4738-B326-74CE1FDA3682}"/>
              </a:ext>
            </a:extLst>
          </xdr:cNvPr>
          <xdr:cNvGraphicFramePr>
            <a:graphicFrameLocks/>
          </xdr:cNvGraphicFramePr>
        </xdr:nvGraphicFramePr>
        <xdr:xfrm>
          <a:off x="2065020" y="1148273"/>
          <a:ext cx="4689367" cy="2522221"/>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2</xdr:col>
      <xdr:colOff>261425</xdr:colOff>
      <xdr:row>22</xdr:row>
      <xdr:rowOff>90854</xdr:rowOff>
    </xdr:from>
    <xdr:to>
      <xdr:col>10</xdr:col>
      <xdr:colOff>70338</xdr:colOff>
      <xdr:row>42</xdr:row>
      <xdr:rowOff>11723</xdr:rowOff>
    </xdr:to>
    <xdr:grpSp>
      <xdr:nvGrpSpPr>
        <xdr:cNvPr id="43" name="Group 42">
          <a:extLst>
            <a:ext uri="{FF2B5EF4-FFF2-40B4-BE49-F238E27FC236}">
              <a16:creationId xmlns:a16="http://schemas.microsoft.com/office/drawing/2014/main" id="{89354904-2046-E410-453D-241B0182AA19}"/>
            </a:ext>
          </a:extLst>
        </xdr:cNvPr>
        <xdr:cNvGrpSpPr/>
      </xdr:nvGrpSpPr>
      <xdr:grpSpPr>
        <a:xfrm>
          <a:off x="1480625" y="4217377"/>
          <a:ext cx="4685713" cy="3672254"/>
          <a:chOff x="1318260" y="3909060"/>
          <a:chExt cx="4217273" cy="3329940"/>
        </a:xfrm>
        <a:solidFill>
          <a:srgbClr val="3BD3CC"/>
        </a:solidFill>
      </xdr:grpSpPr>
      <xdr:sp macro="" textlink="">
        <xdr:nvSpPr>
          <xdr:cNvPr id="87" name="Rectangle: Rounded Corners 86">
            <a:extLst>
              <a:ext uri="{FF2B5EF4-FFF2-40B4-BE49-F238E27FC236}">
                <a16:creationId xmlns:a16="http://schemas.microsoft.com/office/drawing/2014/main" id="{169E33C6-0208-F67C-E12C-ABB12387261B}"/>
              </a:ext>
            </a:extLst>
          </xdr:cNvPr>
          <xdr:cNvSpPr/>
        </xdr:nvSpPr>
        <xdr:spPr>
          <a:xfrm>
            <a:off x="1318260" y="3909060"/>
            <a:ext cx="4217273" cy="3329940"/>
          </a:xfrm>
          <a:prstGeom prst="roundRect">
            <a:avLst/>
          </a:prstGeom>
          <a:grp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a:latin typeface="Segoe UI" panose="020B0502040204020203" pitchFamily="34" charset="0"/>
              <a:cs typeface="Segoe UI" panose="020B0502040204020203" pitchFamily="34" charset="0"/>
            </a:endParaRPr>
          </a:p>
        </xdr:txBody>
      </xdr:sp>
      <xdr:graphicFrame macro="">
        <xdr:nvGraphicFramePr>
          <xdr:cNvPr id="42" name="Chart 41">
            <a:extLst>
              <a:ext uri="{FF2B5EF4-FFF2-40B4-BE49-F238E27FC236}">
                <a16:creationId xmlns:a16="http://schemas.microsoft.com/office/drawing/2014/main" id="{EDE00FFA-F16D-4083-82C6-090AD3CCC298}"/>
              </a:ext>
            </a:extLst>
          </xdr:cNvPr>
          <xdr:cNvGraphicFramePr>
            <a:graphicFrameLocks/>
          </xdr:cNvGraphicFramePr>
        </xdr:nvGraphicFramePr>
        <xdr:xfrm>
          <a:off x="1424940" y="3996894"/>
          <a:ext cx="3970020" cy="3143046"/>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29</xdr:col>
      <xdr:colOff>199877</xdr:colOff>
      <xdr:row>5</xdr:row>
      <xdr:rowOff>178192</xdr:rowOff>
    </xdr:from>
    <xdr:to>
      <xdr:col>36</xdr:col>
      <xdr:colOff>0</xdr:colOff>
      <xdr:row>21</xdr:row>
      <xdr:rowOff>82061</xdr:rowOff>
    </xdr:to>
    <xdr:grpSp>
      <xdr:nvGrpSpPr>
        <xdr:cNvPr id="166" name="Group 165">
          <a:extLst>
            <a:ext uri="{FF2B5EF4-FFF2-40B4-BE49-F238E27FC236}">
              <a16:creationId xmlns:a16="http://schemas.microsoft.com/office/drawing/2014/main" id="{700A87B4-5E1C-DC45-CC36-F3589BCE18A7}"/>
            </a:ext>
          </a:extLst>
        </xdr:cNvPr>
        <xdr:cNvGrpSpPr/>
      </xdr:nvGrpSpPr>
      <xdr:grpSpPr>
        <a:xfrm>
          <a:off x="17878277" y="1116038"/>
          <a:ext cx="4067323" cy="2904977"/>
          <a:chOff x="1825950" y="7193280"/>
          <a:chExt cx="4483410" cy="2906187"/>
        </a:xfrm>
      </xdr:grpSpPr>
      <xdr:sp macro="" textlink="">
        <xdr:nvSpPr>
          <xdr:cNvPr id="86" name="Rectangle: Rounded Corners 85">
            <a:extLst>
              <a:ext uri="{FF2B5EF4-FFF2-40B4-BE49-F238E27FC236}">
                <a16:creationId xmlns:a16="http://schemas.microsoft.com/office/drawing/2014/main" id="{43C12084-6B5C-64D7-4B96-C071B1C9F976}"/>
              </a:ext>
            </a:extLst>
          </xdr:cNvPr>
          <xdr:cNvSpPr/>
        </xdr:nvSpPr>
        <xdr:spPr>
          <a:xfrm>
            <a:off x="1825950" y="7203867"/>
            <a:ext cx="4404360" cy="2895600"/>
          </a:xfrm>
          <a:prstGeom prst="roundRect">
            <a:avLst/>
          </a:prstGeom>
          <a:solidFill>
            <a:srgbClr val="3FBEC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a:latin typeface="Segoe UI" panose="020B0502040204020203" pitchFamily="34" charset="0"/>
              <a:cs typeface="Segoe UI" panose="020B0502040204020203" pitchFamily="34" charset="0"/>
            </a:endParaRPr>
          </a:p>
        </xdr:txBody>
      </xdr:sp>
      <xdr:graphicFrame macro="">
        <xdr:nvGraphicFramePr>
          <xdr:cNvPr id="154" name="Chart 153">
            <a:extLst>
              <a:ext uri="{FF2B5EF4-FFF2-40B4-BE49-F238E27FC236}">
                <a16:creationId xmlns:a16="http://schemas.microsoft.com/office/drawing/2014/main" id="{C9C50586-1420-4863-AEA8-2C5A05C96CAE}"/>
              </a:ext>
            </a:extLst>
          </xdr:cNvPr>
          <xdr:cNvGraphicFramePr>
            <a:graphicFrameLocks/>
          </xdr:cNvGraphicFramePr>
        </xdr:nvGraphicFramePr>
        <xdr:xfrm>
          <a:off x="2042160" y="7193280"/>
          <a:ext cx="4267200" cy="281940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25</xdr:col>
      <xdr:colOff>46893</xdr:colOff>
      <xdr:row>22</xdr:row>
      <xdr:rowOff>82062</xdr:rowOff>
    </xdr:from>
    <xdr:to>
      <xdr:col>36</xdr:col>
      <xdr:colOff>35170</xdr:colOff>
      <xdr:row>41</xdr:row>
      <xdr:rowOff>117231</xdr:rowOff>
    </xdr:to>
    <xdr:grpSp>
      <xdr:nvGrpSpPr>
        <xdr:cNvPr id="159" name="Group 158">
          <a:extLst>
            <a:ext uri="{FF2B5EF4-FFF2-40B4-BE49-F238E27FC236}">
              <a16:creationId xmlns:a16="http://schemas.microsoft.com/office/drawing/2014/main" id="{900F5654-EDA9-CFBD-6F2F-7DFBFFA85A88}"/>
            </a:ext>
          </a:extLst>
        </xdr:cNvPr>
        <xdr:cNvGrpSpPr/>
      </xdr:nvGrpSpPr>
      <xdr:grpSpPr>
        <a:xfrm>
          <a:off x="15286893" y="4208585"/>
          <a:ext cx="6693877" cy="3598984"/>
          <a:chOff x="5669280" y="7200900"/>
          <a:chExt cx="4404360" cy="3032760"/>
        </a:xfrm>
      </xdr:grpSpPr>
      <xdr:sp macro="" textlink="">
        <xdr:nvSpPr>
          <xdr:cNvPr id="156" name="Rectangle: Rounded Corners 155">
            <a:extLst>
              <a:ext uri="{FF2B5EF4-FFF2-40B4-BE49-F238E27FC236}">
                <a16:creationId xmlns:a16="http://schemas.microsoft.com/office/drawing/2014/main" id="{549474E5-E3EE-440E-BB2E-F69D65722F8E}"/>
              </a:ext>
            </a:extLst>
          </xdr:cNvPr>
          <xdr:cNvSpPr/>
        </xdr:nvSpPr>
        <xdr:spPr>
          <a:xfrm>
            <a:off x="5669280" y="7200900"/>
            <a:ext cx="4404360" cy="3032760"/>
          </a:xfrm>
          <a:prstGeom prst="roundRect">
            <a:avLst/>
          </a:prstGeom>
          <a:solidFill>
            <a:srgbClr val="3FBEC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a:latin typeface="Segoe UI" panose="020B0502040204020203" pitchFamily="34" charset="0"/>
              <a:cs typeface="Segoe UI" panose="020B0502040204020203" pitchFamily="34" charset="0"/>
            </a:endParaRPr>
          </a:p>
        </xdr:txBody>
      </xdr:sp>
      <xdr:graphicFrame macro="">
        <xdr:nvGraphicFramePr>
          <xdr:cNvPr id="158" name="Chart 157">
            <a:extLst>
              <a:ext uri="{FF2B5EF4-FFF2-40B4-BE49-F238E27FC236}">
                <a16:creationId xmlns:a16="http://schemas.microsoft.com/office/drawing/2014/main" id="{AD88BBE0-C583-4485-83DC-E8903EF6A52C}"/>
              </a:ext>
            </a:extLst>
          </xdr:cNvPr>
          <xdr:cNvGraphicFramePr>
            <a:graphicFrameLocks/>
          </xdr:cNvGraphicFramePr>
        </xdr:nvGraphicFramePr>
        <xdr:xfrm>
          <a:off x="5829300" y="7299960"/>
          <a:ext cx="4107180" cy="2743200"/>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23</xdr:col>
      <xdr:colOff>350519</xdr:colOff>
      <xdr:row>5</xdr:row>
      <xdr:rowOff>117231</xdr:rowOff>
    </xdr:from>
    <xdr:to>
      <xdr:col>28</xdr:col>
      <xdr:colOff>609599</xdr:colOff>
      <xdr:row>21</xdr:row>
      <xdr:rowOff>82061</xdr:rowOff>
    </xdr:to>
    <xdr:grpSp>
      <xdr:nvGrpSpPr>
        <xdr:cNvPr id="162" name="Group 161">
          <a:extLst>
            <a:ext uri="{FF2B5EF4-FFF2-40B4-BE49-F238E27FC236}">
              <a16:creationId xmlns:a16="http://schemas.microsoft.com/office/drawing/2014/main" id="{EB6AC4D0-3187-E319-EAA2-114F30F9BE2A}"/>
            </a:ext>
          </a:extLst>
        </xdr:cNvPr>
        <xdr:cNvGrpSpPr/>
      </xdr:nvGrpSpPr>
      <xdr:grpSpPr>
        <a:xfrm>
          <a:off x="14371319" y="1055077"/>
          <a:ext cx="3307080" cy="2965938"/>
          <a:chOff x="10828020" y="7208520"/>
          <a:chExt cx="3710940" cy="3178298"/>
        </a:xfrm>
      </xdr:grpSpPr>
      <xdr:sp macro="" textlink="">
        <xdr:nvSpPr>
          <xdr:cNvPr id="85" name="Rectangle: Rounded Corners 84">
            <a:extLst>
              <a:ext uri="{FF2B5EF4-FFF2-40B4-BE49-F238E27FC236}">
                <a16:creationId xmlns:a16="http://schemas.microsoft.com/office/drawing/2014/main" id="{CF4B7FF3-4CE0-38CF-CF21-143E4082701F}"/>
              </a:ext>
            </a:extLst>
          </xdr:cNvPr>
          <xdr:cNvSpPr/>
        </xdr:nvSpPr>
        <xdr:spPr>
          <a:xfrm>
            <a:off x="10828020" y="7277858"/>
            <a:ext cx="3710940" cy="3108960"/>
          </a:xfrm>
          <a:prstGeom prst="roundRect">
            <a:avLst/>
          </a:prstGeom>
          <a:solidFill>
            <a:srgbClr val="3FBECF"/>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a:latin typeface="Segoe UI" panose="020B0502040204020203" pitchFamily="34" charset="0"/>
              <a:cs typeface="Segoe UI" panose="020B0502040204020203" pitchFamily="34" charset="0"/>
            </a:endParaRPr>
          </a:p>
        </xdr:txBody>
      </xdr:sp>
      <xdr:graphicFrame macro="">
        <xdr:nvGraphicFramePr>
          <xdr:cNvPr id="161" name="Chart 160">
            <a:extLst>
              <a:ext uri="{FF2B5EF4-FFF2-40B4-BE49-F238E27FC236}">
                <a16:creationId xmlns:a16="http://schemas.microsoft.com/office/drawing/2014/main" id="{B73277F3-D999-449B-BAD8-ECEBBE7A071F}"/>
              </a:ext>
            </a:extLst>
          </xdr:cNvPr>
          <xdr:cNvGraphicFramePr>
            <a:graphicFrameLocks/>
          </xdr:cNvGraphicFramePr>
        </xdr:nvGraphicFramePr>
        <xdr:xfrm>
          <a:off x="10922978" y="7208520"/>
          <a:ext cx="3600742" cy="3110674"/>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xdr:from>
      <xdr:col>0</xdr:col>
      <xdr:colOff>30480</xdr:colOff>
      <xdr:row>6</xdr:row>
      <xdr:rowOff>46893</xdr:rowOff>
    </xdr:from>
    <xdr:to>
      <xdr:col>2</xdr:col>
      <xdr:colOff>35169</xdr:colOff>
      <xdr:row>48</xdr:row>
      <xdr:rowOff>128954</xdr:rowOff>
    </xdr:to>
    <xdr:sp macro="" textlink="">
      <xdr:nvSpPr>
        <xdr:cNvPr id="164" name="Rectangle: Rounded Corners 163">
          <a:extLst>
            <a:ext uri="{FF2B5EF4-FFF2-40B4-BE49-F238E27FC236}">
              <a16:creationId xmlns:a16="http://schemas.microsoft.com/office/drawing/2014/main" id="{57182C10-BFBD-47FD-A89E-EBDCA8F20DBD}"/>
            </a:ext>
          </a:extLst>
        </xdr:cNvPr>
        <xdr:cNvSpPr/>
      </xdr:nvSpPr>
      <xdr:spPr>
        <a:xfrm>
          <a:off x="30480" y="1172308"/>
          <a:ext cx="1223889" cy="7959969"/>
        </a:xfrm>
        <a:prstGeom prst="roundRect">
          <a:avLst/>
        </a:prstGeom>
        <a:solidFill>
          <a:srgbClr val="3BD3CC"/>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60960</xdr:colOff>
      <xdr:row>6</xdr:row>
      <xdr:rowOff>91441</xdr:rowOff>
    </xdr:from>
    <xdr:to>
      <xdr:col>2</xdr:col>
      <xdr:colOff>58615</xdr:colOff>
      <xdr:row>47</xdr:row>
      <xdr:rowOff>0</xdr:rowOff>
    </xdr:to>
    <xdr:grpSp>
      <xdr:nvGrpSpPr>
        <xdr:cNvPr id="177" name="Group 176">
          <a:extLst>
            <a:ext uri="{FF2B5EF4-FFF2-40B4-BE49-F238E27FC236}">
              <a16:creationId xmlns:a16="http://schemas.microsoft.com/office/drawing/2014/main" id="{FFFC511E-8294-FFA7-9D66-5F42779721C1}"/>
            </a:ext>
          </a:extLst>
        </xdr:cNvPr>
        <xdr:cNvGrpSpPr/>
      </xdr:nvGrpSpPr>
      <xdr:grpSpPr>
        <a:xfrm>
          <a:off x="60960" y="1216856"/>
          <a:ext cx="1216855" cy="7598898"/>
          <a:chOff x="60960" y="1188721"/>
          <a:chExt cx="1714500" cy="7970518"/>
        </a:xfrm>
      </xdr:grpSpPr>
      <mc:AlternateContent xmlns:mc="http://schemas.openxmlformats.org/markup-compatibility/2006">
        <mc:Choice xmlns:a14="http://schemas.microsoft.com/office/drawing/2010/main" Requires="a14">
          <xdr:graphicFrame macro="">
            <xdr:nvGraphicFramePr>
              <xdr:cNvPr id="168" name="Region">
                <a:extLst>
                  <a:ext uri="{FF2B5EF4-FFF2-40B4-BE49-F238E27FC236}">
                    <a16:creationId xmlns:a16="http://schemas.microsoft.com/office/drawing/2014/main" id="{E495EBDD-D814-0FEA-6E3A-0E224B455BCD}"/>
                  </a:ext>
                </a:extLst>
              </xdr:cNvPr>
              <xdr:cNvGraphicFramePr/>
            </xdr:nvGraphicFramePr>
            <xdr:xfrm>
              <a:off x="60960" y="5775961"/>
              <a:ext cx="1691640" cy="110490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0960" y="5590219"/>
                <a:ext cx="1200630" cy="10533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69" name="Product">
                <a:extLst>
                  <a:ext uri="{FF2B5EF4-FFF2-40B4-BE49-F238E27FC236}">
                    <a16:creationId xmlns:a16="http://schemas.microsoft.com/office/drawing/2014/main" id="{41A41376-003D-B3E4-337C-B1BCB1ACD8B8}"/>
                  </a:ext>
                </a:extLst>
              </xdr:cNvPr>
              <xdr:cNvGraphicFramePr/>
            </xdr:nvGraphicFramePr>
            <xdr:xfrm>
              <a:off x="76200" y="2362200"/>
              <a:ext cx="1684020" cy="1127759"/>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71776" y="2335622"/>
                <a:ext cx="1195222" cy="10751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70" name="Category">
                <a:extLst>
                  <a:ext uri="{FF2B5EF4-FFF2-40B4-BE49-F238E27FC236}">
                    <a16:creationId xmlns:a16="http://schemas.microsoft.com/office/drawing/2014/main" id="{F8B7D8E4-5124-83AA-8FD6-6A385F62CDEC}"/>
                  </a:ext>
                </a:extLst>
              </xdr:cNvPr>
              <xdr:cNvGraphicFramePr/>
            </xdr:nvGraphicFramePr>
            <xdr:xfrm>
              <a:off x="68580" y="4617720"/>
              <a:ext cx="1706880" cy="114300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6368" y="4485980"/>
                <a:ext cx="1211447" cy="10897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71" name="Units Sold">
                <a:extLst>
                  <a:ext uri="{FF2B5EF4-FFF2-40B4-BE49-F238E27FC236}">
                    <a16:creationId xmlns:a16="http://schemas.microsoft.com/office/drawing/2014/main" id="{8A66D839-3890-A321-C37C-32643FF032FB}"/>
                  </a:ext>
                </a:extLst>
              </xdr:cNvPr>
              <xdr:cNvGraphicFramePr/>
            </xdr:nvGraphicFramePr>
            <xdr:xfrm>
              <a:off x="76200" y="3512821"/>
              <a:ext cx="1684020" cy="1089660"/>
            </xdr:xfrm>
            <a:graphic>
              <a:graphicData uri="http://schemas.microsoft.com/office/drawing/2010/slicer">
                <sle:slicer xmlns:sle="http://schemas.microsoft.com/office/drawing/2010/slicer" name="Units Sold"/>
              </a:graphicData>
            </a:graphic>
          </xdr:graphicFrame>
        </mc:Choice>
        <mc:Fallback>
          <xdr:sp macro="" textlink="">
            <xdr:nvSpPr>
              <xdr:cNvPr id="0" name=""/>
              <xdr:cNvSpPr>
                <a:spLocks noTextEdit="1"/>
              </xdr:cNvSpPr>
            </xdr:nvSpPr>
            <xdr:spPr>
              <a:xfrm>
                <a:off x="71776" y="3432596"/>
                <a:ext cx="1195222" cy="10388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73" name="Sales Rep">
                <a:extLst>
                  <a:ext uri="{FF2B5EF4-FFF2-40B4-BE49-F238E27FC236}">
                    <a16:creationId xmlns:a16="http://schemas.microsoft.com/office/drawing/2014/main" id="{52F58B79-5379-B62A-4FF4-AEEC5132B17B}"/>
                  </a:ext>
                </a:extLst>
              </xdr:cNvPr>
              <xdr:cNvGraphicFramePr/>
            </xdr:nvGraphicFramePr>
            <xdr:xfrm>
              <a:off x="60960" y="8016240"/>
              <a:ext cx="1714500" cy="1142999"/>
            </xdr:xfrm>
            <a:graphic>
              <a:graphicData uri="http://schemas.microsoft.com/office/drawing/2010/slicer">
                <sle:slicer xmlns:sle="http://schemas.microsoft.com/office/drawing/2010/slicer" name="Sales Rep"/>
              </a:graphicData>
            </a:graphic>
          </xdr:graphicFrame>
        </mc:Choice>
        <mc:Fallback>
          <xdr:sp macro="" textlink="">
            <xdr:nvSpPr>
              <xdr:cNvPr id="0" name=""/>
              <xdr:cNvSpPr>
                <a:spLocks noTextEdit="1"/>
              </xdr:cNvSpPr>
            </xdr:nvSpPr>
            <xdr:spPr>
              <a:xfrm>
                <a:off x="60960" y="7726047"/>
                <a:ext cx="1216855" cy="10897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74" name="Customer">
                <a:extLst>
                  <a:ext uri="{FF2B5EF4-FFF2-40B4-BE49-F238E27FC236}">
                    <a16:creationId xmlns:a16="http://schemas.microsoft.com/office/drawing/2014/main" id="{99643658-B737-C4E4-746E-A3AE90DD94E7}"/>
                  </a:ext>
                </a:extLst>
              </xdr:cNvPr>
              <xdr:cNvGraphicFramePr/>
            </xdr:nvGraphicFramePr>
            <xdr:xfrm>
              <a:off x="60960" y="6911341"/>
              <a:ext cx="1714500" cy="1112520"/>
            </xdr:xfrm>
            <a:graphic>
              <a:graphicData uri="http://schemas.microsoft.com/office/drawing/2010/slicer">
                <sle:slicer xmlns:sle="http://schemas.microsoft.com/office/drawing/2010/slicer" name="Customer"/>
              </a:graphicData>
            </a:graphic>
          </xdr:graphicFrame>
        </mc:Choice>
        <mc:Fallback>
          <xdr:sp macro="" textlink="">
            <xdr:nvSpPr>
              <xdr:cNvPr id="0" name=""/>
              <xdr:cNvSpPr>
                <a:spLocks noTextEdit="1"/>
              </xdr:cNvSpPr>
            </xdr:nvSpPr>
            <xdr:spPr>
              <a:xfrm>
                <a:off x="60960" y="6672663"/>
                <a:ext cx="1216855" cy="1060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75" name="Revenue">
                <a:extLst>
                  <a:ext uri="{FF2B5EF4-FFF2-40B4-BE49-F238E27FC236}">
                    <a16:creationId xmlns:a16="http://schemas.microsoft.com/office/drawing/2014/main" id="{4FFB7048-CBB0-6E42-7748-1A88AD49DEC4}"/>
                  </a:ext>
                </a:extLst>
              </xdr:cNvPr>
              <xdr:cNvGraphicFramePr/>
            </xdr:nvGraphicFramePr>
            <xdr:xfrm>
              <a:off x="83820" y="1188721"/>
              <a:ext cx="1684020" cy="1158239"/>
            </xdr:xfrm>
            <a:graphic>
              <a:graphicData uri="http://schemas.microsoft.com/office/drawing/2010/slicer">
                <sle:slicer xmlns:sle="http://schemas.microsoft.com/office/drawing/2010/slicer" name="Revenue"/>
              </a:graphicData>
            </a:graphic>
          </xdr:graphicFrame>
        </mc:Choice>
        <mc:Fallback>
          <xdr:sp macro="" textlink="">
            <xdr:nvSpPr>
              <xdr:cNvPr id="0" name=""/>
              <xdr:cNvSpPr>
                <a:spLocks noTextEdit="1"/>
              </xdr:cNvSpPr>
            </xdr:nvSpPr>
            <xdr:spPr>
              <a:xfrm>
                <a:off x="77185" y="1216856"/>
                <a:ext cx="1195222" cy="11042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37.796471875001" createdVersion="8" refreshedVersion="8" minRefreshableVersion="3" recordCount="100" xr:uid="{894B2D3F-C645-42FE-9660-F3D51E2C5B60}">
  <cacheSource type="worksheet">
    <worksheetSource ref="A1:I101" sheet="Cleaned Dataset"/>
  </cacheSource>
  <cacheFields count="10">
    <cacheField name="Date" numFmtId="15">
      <sharedItems containsSemiMixedTypes="0" containsNonDate="0" containsDate="1" containsString="0" minDate="2025-01-04T00:00:00" maxDate="2025-07-01T00:00:00" count="77">
        <d v="2025-06-13T00:00:00"/>
        <d v="2025-04-08T00:00:00"/>
        <d v="2025-01-29T00:00:00"/>
        <d v="2025-05-17T00:00:00"/>
        <d v="2025-01-28T00:00:00"/>
        <d v="2025-05-26T00:00:00"/>
        <d v="2025-05-06T00:00:00"/>
        <d v="2025-02-10T00:00:00"/>
        <d v="2025-02-01T00:00:00"/>
        <d v="2025-06-28T00:00:00"/>
        <d v="2025-04-18T00:00:00"/>
        <d v="2025-02-25T00:00:00"/>
        <d v="2025-04-29T00:00:00"/>
        <d v="2025-02-02T00:00:00"/>
        <d v="2025-04-15T00:00:00"/>
        <d v="2025-06-12T00:00:00"/>
        <d v="2025-01-31T00:00:00"/>
        <d v="2025-05-25T00:00:00"/>
        <d v="2025-02-26T00:00:00"/>
        <d v="2025-04-06T00:00:00"/>
        <d v="2025-02-24T00:00:00"/>
        <d v="2025-03-24T00:00:00"/>
        <d v="2025-05-28T00:00:00"/>
        <d v="2025-05-12T00:00:00"/>
        <d v="2025-05-11T00:00:00"/>
        <d v="2025-01-16T00:00:00"/>
        <d v="2025-05-10T00:00:00"/>
        <d v="2025-02-06T00:00:00"/>
        <d v="2025-06-17T00:00:00"/>
        <d v="2025-01-09T00:00:00"/>
        <d v="2025-06-29T00:00:00"/>
        <d v="2025-03-19T00:00:00"/>
        <d v="2025-02-07T00:00:00"/>
        <d v="2025-03-07T00:00:00"/>
        <d v="2025-05-07T00:00:00"/>
        <d v="2025-06-30T00:00:00"/>
        <d v="2025-01-13T00:00:00"/>
        <d v="2025-06-15T00:00:00"/>
        <d v="2025-02-28T00:00:00"/>
        <d v="2025-02-19T00:00:00"/>
        <d v="2025-03-03T00:00:00"/>
        <d v="2025-04-01T00:00:00"/>
        <d v="2025-04-07T00:00:00"/>
        <d v="2025-06-01T00:00:00"/>
        <d v="2025-01-14T00:00:00"/>
        <d v="2025-02-22T00:00:00"/>
        <d v="2025-01-27T00:00:00"/>
        <d v="2025-01-04T00:00:00"/>
        <d v="2025-03-08T00:00:00"/>
        <d v="2025-01-23T00:00:00"/>
        <d v="2025-02-05T00:00:00"/>
        <d v="2025-01-06T00:00:00"/>
        <d v="2025-05-02T00:00:00"/>
        <d v="2025-06-02T00:00:00"/>
        <d v="2025-02-16T00:00:00"/>
        <d v="2025-04-14T00:00:00"/>
        <d v="2025-01-11T00:00:00"/>
        <d v="2025-05-29T00:00:00"/>
        <d v="2025-03-15T00:00:00"/>
        <d v="2025-03-26T00:00:00"/>
        <d v="2025-01-12T00:00:00"/>
        <d v="2025-05-05T00:00:00"/>
        <d v="2025-05-19T00:00:00"/>
        <d v="2025-04-04T00:00:00"/>
        <d v="2025-06-03T00:00:00"/>
        <d v="2025-04-05T00:00:00"/>
        <d v="2025-01-30T00:00:00"/>
        <d v="2025-05-27T00:00:00"/>
        <d v="2025-02-13T00:00:00"/>
        <d v="2025-03-09T00:00:00"/>
        <d v="2025-02-20T00:00:00"/>
        <d v="2025-04-10T00:00:00"/>
        <d v="2025-05-21T00:00:00"/>
        <d v="2025-06-26T00:00:00"/>
        <d v="2025-06-27T00:00:00"/>
        <d v="2025-06-07T00:00:00"/>
        <d v="2025-05-13T00:00:00"/>
      </sharedItems>
      <fieldGroup par="9"/>
    </cacheField>
    <cacheField name="Region" numFmtId="0">
      <sharedItems count="4">
        <s v="South"/>
        <s v="East"/>
        <s v="North"/>
        <s v="West"/>
      </sharedItems>
    </cacheField>
    <cacheField name="Product" numFmtId="0">
      <sharedItems count="7">
        <s v="Laptop A15"/>
        <s v="Tv 43Q"/>
        <s v="Phone X12"/>
        <s v="Monitor M24"/>
        <s v="Camera C100"/>
        <s v="Tablet T8"/>
        <s v="Speaker S10"/>
      </sharedItems>
    </cacheField>
    <cacheField name="Category" numFmtId="0">
      <sharedItems count="6">
        <s v="Computers"/>
        <s v="Electronics"/>
        <s v="Mobile"/>
        <s v="Peripherals"/>
        <s v="Photography"/>
        <s v="Audio"/>
      </sharedItems>
    </cacheField>
    <cacheField name="Units Sold" numFmtId="0">
      <sharedItems containsSemiMixedTypes="0" containsString="0" containsNumber="1" containsInteger="1" minValue="1" maxValue="20" count="20">
        <n v="8"/>
        <n v="6"/>
        <n v="14"/>
        <n v="18"/>
        <n v="5"/>
        <n v="19"/>
        <n v="3"/>
        <n v="2"/>
        <n v="4"/>
        <n v="20"/>
        <n v="1"/>
        <n v="11"/>
        <n v="10"/>
        <n v="12"/>
        <n v="17"/>
        <n v="15"/>
        <n v="9"/>
        <n v="7"/>
        <n v="13"/>
        <n v="16"/>
      </sharedItems>
    </cacheField>
    <cacheField name="Unit Price" numFmtId="44">
      <sharedItems containsSemiMixedTypes="0" containsString="0" containsNumber="1" containsInteger="1" minValue="65000" maxValue="350000" count="7">
        <n v="250000"/>
        <n v="350000"/>
        <n v="180000"/>
        <n v="65000"/>
        <n v="175000"/>
        <n v="150000"/>
        <n v="85000"/>
      </sharedItems>
    </cacheField>
    <cacheField name="Sales Rep" numFmtId="0">
      <sharedItems count="10">
        <s v="Peter Obi"/>
        <s v="Ifeanyi Okafor"/>
        <s v="Fola Balogun"/>
        <s v="Aisha Bello"/>
        <s v="Chinedu Nwosu"/>
        <s v="Mary John"/>
        <s v="Grace Amos"/>
        <s v="Job Austin"/>
        <s v="Aba Joel"/>
        <s v="Praise Odunayo"/>
      </sharedItems>
    </cacheField>
    <cacheField name="Customer" numFmtId="0">
      <sharedItems count="14">
        <s v="Bright Solutions"/>
        <s v="Musa Enterprises"/>
        <s v="Zainab Global"/>
        <s v="Jide Superstores"/>
        <s v="Chika Mart"/>
        <s v="Alpha Retailers"/>
        <s v="Omega Wholesale"/>
        <s v="Kelvin Tech"/>
        <s v="Emeka Traders"/>
        <s v="Tola Ventures"/>
        <s v="Femi Tech"/>
        <s v="Maryam Ltd"/>
        <s v="Tope &amp; Sons "/>
        <s v="Adewale Store"/>
      </sharedItems>
    </cacheField>
    <cacheField name="Revenue" numFmtId="44">
      <sharedItems containsSemiMixedTypes="0" containsString="0" containsNumber="1" containsInteger="1" minValue="130000" maxValue="7000000" count="65">
        <n v="2000000"/>
        <n v="2100000"/>
        <n v="2520000"/>
        <n v="1170000"/>
        <n v="900000"/>
        <n v="3420000"/>
        <n v="1050000"/>
        <n v="130000"/>
        <n v="2450000"/>
        <n v="600000"/>
        <n v="3000000"/>
        <n v="510000"/>
        <n v="150000"/>
        <n v="6300000"/>
        <n v="170000"/>
        <n v="715000"/>
        <n v="1750000"/>
        <n v="525000"/>
        <n v="875000"/>
        <n v="5000000"/>
        <n v="350000"/>
        <n v="1200000"/>
        <n v="4750000"/>
        <n v="935000"/>
        <n v="1105000"/>
        <n v="5250000"/>
        <n v="2800000"/>
        <n v="4900000"/>
        <n v="1800000"/>
        <n v="1400000"/>
        <n v="780000"/>
        <n v="260000"/>
        <n v="3150000"/>
        <n v="650000"/>
        <n v="450000"/>
        <n v="1440000"/>
        <n v="750000"/>
        <n v="1530000"/>
        <n v="1350000"/>
        <n v="2700000"/>
        <n v="1650000"/>
        <n v="2850000"/>
        <n v="595000"/>
        <n v="845000"/>
        <n v="325000"/>
        <n v="4550000"/>
        <n v="6650000"/>
        <n v="1620000"/>
        <n v="1500000"/>
        <n v="850000"/>
        <n v="1250000"/>
        <n v="3850000"/>
        <n v="3500000"/>
        <n v="2400000"/>
        <n v="3250000"/>
        <n v="5950000"/>
        <n v="2340000"/>
        <n v="425000"/>
        <n v="2550000"/>
        <n v="1235000"/>
        <n v="720000"/>
        <n v="2750000"/>
        <n v="3325000"/>
        <n v="2975000"/>
        <n v="7000000"/>
      </sharedItems>
    </cacheField>
    <cacheField name="Quarters (Date)" numFmtId="0" databaseField="0">
      <fieldGroup base="0">
        <rangePr groupBy="quarters" startDate="2025-01-04T00:00:00" endDate="2025-07-01T00:00:00"/>
        <groupItems count="6">
          <s v="&lt;1/4/2025"/>
          <s v="Qtr1"/>
          <s v="Qtr2"/>
          <s v="Qtr3"/>
          <s v="Qtr4"/>
          <s v="&gt;7/1/2025"/>
        </groupItems>
      </fieldGroup>
    </cacheField>
  </cacheFields>
  <extLst>
    <ext xmlns:x14="http://schemas.microsoft.com/office/spreadsheetml/2009/9/main" uri="{725AE2AE-9491-48be-B2B4-4EB974FC3084}">
      <x14:pivotCacheDefinition pivotCacheId="20954370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x v="0"/>
    <x v="0"/>
    <x v="0"/>
    <x v="0"/>
    <x v="0"/>
    <x v="0"/>
    <x v="0"/>
    <x v="0"/>
  </r>
  <r>
    <x v="1"/>
    <x v="1"/>
    <x v="1"/>
    <x v="1"/>
    <x v="1"/>
    <x v="1"/>
    <x v="1"/>
    <x v="1"/>
    <x v="1"/>
  </r>
  <r>
    <x v="2"/>
    <x v="2"/>
    <x v="2"/>
    <x v="2"/>
    <x v="2"/>
    <x v="2"/>
    <x v="2"/>
    <x v="2"/>
    <x v="2"/>
  </r>
  <r>
    <x v="3"/>
    <x v="0"/>
    <x v="3"/>
    <x v="3"/>
    <x v="3"/>
    <x v="3"/>
    <x v="1"/>
    <x v="3"/>
    <x v="3"/>
  </r>
  <r>
    <x v="4"/>
    <x v="3"/>
    <x v="2"/>
    <x v="2"/>
    <x v="4"/>
    <x v="2"/>
    <x v="0"/>
    <x v="4"/>
    <x v="4"/>
  </r>
  <r>
    <x v="5"/>
    <x v="1"/>
    <x v="2"/>
    <x v="2"/>
    <x v="5"/>
    <x v="2"/>
    <x v="1"/>
    <x v="1"/>
    <x v="5"/>
  </r>
  <r>
    <x v="6"/>
    <x v="3"/>
    <x v="1"/>
    <x v="1"/>
    <x v="6"/>
    <x v="1"/>
    <x v="3"/>
    <x v="4"/>
    <x v="6"/>
  </r>
  <r>
    <x v="7"/>
    <x v="3"/>
    <x v="3"/>
    <x v="3"/>
    <x v="7"/>
    <x v="3"/>
    <x v="0"/>
    <x v="1"/>
    <x v="7"/>
  </r>
  <r>
    <x v="8"/>
    <x v="1"/>
    <x v="4"/>
    <x v="4"/>
    <x v="2"/>
    <x v="4"/>
    <x v="2"/>
    <x v="0"/>
    <x v="8"/>
  </r>
  <r>
    <x v="9"/>
    <x v="3"/>
    <x v="5"/>
    <x v="2"/>
    <x v="8"/>
    <x v="5"/>
    <x v="0"/>
    <x v="5"/>
    <x v="9"/>
  </r>
  <r>
    <x v="10"/>
    <x v="0"/>
    <x v="5"/>
    <x v="2"/>
    <x v="9"/>
    <x v="5"/>
    <x v="2"/>
    <x v="1"/>
    <x v="10"/>
  </r>
  <r>
    <x v="11"/>
    <x v="2"/>
    <x v="6"/>
    <x v="5"/>
    <x v="1"/>
    <x v="6"/>
    <x v="3"/>
    <x v="6"/>
    <x v="11"/>
  </r>
  <r>
    <x v="12"/>
    <x v="3"/>
    <x v="5"/>
    <x v="2"/>
    <x v="10"/>
    <x v="5"/>
    <x v="3"/>
    <x v="7"/>
    <x v="12"/>
  </r>
  <r>
    <x v="13"/>
    <x v="1"/>
    <x v="1"/>
    <x v="1"/>
    <x v="3"/>
    <x v="1"/>
    <x v="3"/>
    <x v="8"/>
    <x v="13"/>
  </r>
  <r>
    <x v="14"/>
    <x v="0"/>
    <x v="6"/>
    <x v="5"/>
    <x v="7"/>
    <x v="6"/>
    <x v="1"/>
    <x v="0"/>
    <x v="14"/>
  </r>
  <r>
    <x v="15"/>
    <x v="1"/>
    <x v="3"/>
    <x v="3"/>
    <x v="11"/>
    <x v="3"/>
    <x v="4"/>
    <x v="9"/>
    <x v="15"/>
  </r>
  <r>
    <x v="16"/>
    <x v="1"/>
    <x v="4"/>
    <x v="4"/>
    <x v="12"/>
    <x v="4"/>
    <x v="2"/>
    <x v="6"/>
    <x v="16"/>
  </r>
  <r>
    <x v="13"/>
    <x v="3"/>
    <x v="5"/>
    <x v="2"/>
    <x v="8"/>
    <x v="5"/>
    <x v="5"/>
    <x v="3"/>
    <x v="9"/>
  </r>
  <r>
    <x v="17"/>
    <x v="3"/>
    <x v="4"/>
    <x v="4"/>
    <x v="6"/>
    <x v="4"/>
    <x v="6"/>
    <x v="10"/>
    <x v="17"/>
  </r>
  <r>
    <x v="18"/>
    <x v="2"/>
    <x v="4"/>
    <x v="4"/>
    <x v="4"/>
    <x v="4"/>
    <x v="4"/>
    <x v="10"/>
    <x v="18"/>
  </r>
  <r>
    <x v="19"/>
    <x v="1"/>
    <x v="0"/>
    <x v="0"/>
    <x v="9"/>
    <x v="0"/>
    <x v="6"/>
    <x v="1"/>
    <x v="19"/>
  </r>
  <r>
    <x v="20"/>
    <x v="1"/>
    <x v="4"/>
    <x v="4"/>
    <x v="7"/>
    <x v="4"/>
    <x v="0"/>
    <x v="8"/>
    <x v="20"/>
  </r>
  <r>
    <x v="21"/>
    <x v="1"/>
    <x v="5"/>
    <x v="2"/>
    <x v="9"/>
    <x v="5"/>
    <x v="2"/>
    <x v="11"/>
    <x v="10"/>
  </r>
  <r>
    <x v="22"/>
    <x v="2"/>
    <x v="5"/>
    <x v="2"/>
    <x v="0"/>
    <x v="5"/>
    <x v="1"/>
    <x v="6"/>
    <x v="21"/>
  </r>
  <r>
    <x v="23"/>
    <x v="3"/>
    <x v="0"/>
    <x v="0"/>
    <x v="5"/>
    <x v="0"/>
    <x v="6"/>
    <x v="10"/>
    <x v="22"/>
  </r>
  <r>
    <x v="24"/>
    <x v="1"/>
    <x v="4"/>
    <x v="4"/>
    <x v="13"/>
    <x v="4"/>
    <x v="4"/>
    <x v="6"/>
    <x v="1"/>
  </r>
  <r>
    <x v="25"/>
    <x v="2"/>
    <x v="6"/>
    <x v="5"/>
    <x v="11"/>
    <x v="6"/>
    <x v="6"/>
    <x v="10"/>
    <x v="23"/>
  </r>
  <r>
    <x v="26"/>
    <x v="2"/>
    <x v="3"/>
    <x v="3"/>
    <x v="14"/>
    <x v="3"/>
    <x v="4"/>
    <x v="7"/>
    <x v="24"/>
  </r>
  <r>
    <x v="8"/>
    <x v="0"/>
    <x v="1"/>
    <x v="1"/>
    <x v="15"/>
    <x v="1"/>
    <x v="7"/>
    <x v="2"/>
    <x v="25"/>
  </r>
  <r>
    <x v="27"/>
    <x v="3"/>
    <x v="1"/>
    <x v="1"/>
    <x v="0"/>
    <x v="1"/>
    <x v="0"/>
    <x v="10"/>
    <x v="26"/>
  </r>
  <r>
    <x v="28"/>
    <x v="3"/>
    <x v="1"/>
    <x v="1"/>
    <x v="2"/>
    <x v="1"/>
    <x v="4"/>
    <x v="12"/>
    <x v="27"/>
  </r>
  <r>
    <x v="29"/>
    <x v="1"/>
    <x v="5"/>
    <x v="2"/>
    <x v="13"/>
    <x v="5"/>
    <x v="2"/>
    <x v="5"/>
    <x v="28"/>
  </r>
  <r>
    <x v="30"/>
    <x v="2"/>
    <x v="4"/>
    <x v="4"/>
    <x v="0"/>
    <x v="4"/>
    <x v="0"/>
    <x v="5"/>
    <x v="29"/>
  </r>
  <r>
    <x v="31"/>
    <x v="0"/>
    <x v="5"/>
    <x v="2"/>
    <x v="1"/>
    <x v="5"/>
    <x v="0"/>
    <x v="10"/>
    <x v="4"/>
  </r>
  <r>
    <x v="27"/>
    <x v="3"/>
    <x v="0"/>
    <x v="0"/>
    <x v="9"/>
    <x v="0"/>
    <x v="0"/>
    <x v="6"/>
    <x v="19"/>
  </r>
  <r>
    <x v="19"/>
    <x v="0"/>
    <x v="3"/>
    <x v="3"/>
    <x v="13"/>
    <x v="3"/>
    <x v="0"/>
    <x v="11"/>
    <x v="30"/>
  </r>
  <r>
    <x v="32"/>
    <x v="0"/>
    <x v="3"/>
    <x v="3"/>
    <x v="8"/>
    <x v="3"/>
    <x v="5"/>
    <x v="12"/>
    <x v="31"/>
  </r>
  <r>
    <x v="33"/>
    <x v="1"/>
    <x v="4"/>
    <x v="4"/>
    <x v="3"/>
    <x v="4"/>
    <x v="6"/>
    <x v="0"/>
    <x v="32"/>
  </r>
  <r>
    <x v="34"/>
    <x v="2"/>
    <x v="2"/>
    <x v="2"/>
    <x v="12"/>
    <x v="2"/>
    <x v="5"/>
    <x v="4"/>
    <x v="28"/>
  </r>
  <r>
    <x v="35"/>
    <x v="1"/>
    <x v="3"/>
    <x v="3"/>
    <x v="12"/>
    <x v="3"/>
    <x v="8"/>
    <x v="1"/>
    <x v="33"/>
  </r>
  <r>
    <x v="11"/>
    <x v="2"/>
    <x v="5"/>
    <x v="2"/>
    <x v="6"/>
    <x v="5"/>
    <x v="5"/>
    <x v="12"/>
    <x v="34"/>
  </r>
  <r>
    <x v="36"/>
    <x v="0"/>
    <x v="2"/>
    <x v="2"/>
    <x v="0"/>
    <x v="2"/>
    <x v="3"/>
    <x v="6"/>
    <x v="35"/>
  </r>
  <r>
    <x v="37"/>
    <x v="0"/>
    <x v="0"/>
    <x v="0"/>
    <x v="6"/>
    <x v="0"/>
    <x v="5"/>
    <x v="4"/>
    <x v="36"/>
  </r>
  <r>
    <x v="38"/>
    <x v="1"/>
    <x v="6"/>
    <x v="5"/>
    <x v="3"/>
    <x v="6"/>
    <x v="1"/>
    <x v="5"/>
    <x v="37"/>
  </r>
  <r>
    <x v="39"/>
    <x v="3"/>
    <x v="5"/>
    <x v="2"/>
    <x v="16"/>
    <x v="5"/>
    <x v="5"/>
    <x v="7"/>
    <x v="38"/>
  </r>
  <r>
    <x v="40"/>
    <x v="1"/>
    <x v="5"/>
    <x v="2"/>
    <x v="3"/>
    <x v="5"/>
    <x v="2"/>
    <x v="5"/>
    <x v="39"/>
  </r>
  <r>
    <x v="41"/>
    <x v="3"/>
    <x v="5"/>
    <x v="2"/>
    <x v="11"/>
    <x v="5"/>
    <x v="5"/>
    <x v="4"/>
    <x v="40"/>
  </r>
  <r>
    <x v="42"/>
    <x v="0"/>
    <x v="1"/>
    <x v="1"/>
    <x v="8"/>
    <x v="1"/>
    <x v="6"/>
    <x v="3"/>
    <x v="29"/>
  </r>
  <r>
    <x v="18"/>
    <x v="0"/>
    <x v="5"/>
    <x v="2"/>
    <x v="5"/>
    <x v="5"/>
    <x v="9"/>
    <x v="7"/>
    <x v="41"/>
  </r>
  <r>
    <x v="43"/>
    <x v="1"/>
    <x v="6"/>
    <x v="5"/>
    <x v="17"/>
    <x v="6"/>
    <x v="3"/>
    <x v="0"/>
    <x v="42"/>
  </r>
  <r>
    <x v="44"/>
    <x v="3"/>
    <x v="3"/>
    <x v="3"/>
    <x v="18"/>
    <x v="3"/>
    <x v="2"/>
    <x v="10"/>
    <x v="43"/>
  </r>
  <r>
    <x v="45"/>
    <x v="1"/>
    <x v="3"/>
    <x v="3"/>
    <x v="3"/>
    <x v="3"/>
    <x v="6"/>
    <x v="3"/>
    <x v="3"/>
  </r>
  <r>
    <x v="21"/>
    <x v="3"/>
    <x v="3"/>
    <x v="3"/>
    <x v="4"/>
    <x v="3"/>
    <x v="3"/>
    <x v="7"/>
    <x v="44"/>
  </r>
  <r>
    <x v="46"/>
    <x v="0"/>
    <x v="1"/>
    <x v="1"/>
    <x v="18"/>
    <x v="1"/>
    <x v="4"/>
    <x v="10"/>
    <x v="45"/>
  </r>
  <r>
    <x v="47"/>
    <x v="3"/>
    <x v="1"/>
    <x v="1"/>
    <x v="5"/>
    <x v="1"/>
    <x v="1"/>
    <x v="3"/>
    <x v="46"/>
  </r>
  <r>
    <x v="48"/>
    <x v="2"/>
    <x v="2"/>
    <x v="2"/>
    <x v="16"/>
    <x v="2"/>
    <x v="3"/>
    <x v="13"/>
    <x v="47"/>
  </r>
  <r>
    <x v="49"/>
    <x v="1"/>
    <x v="5"/>
    <x v="2"/>
    <x v="12"/>
    <x v="5"/>
    <x v="4"/>
    <x v="11"/>
    <x v="48"/>
  </r>
  <r>
    <x v="25"/>
    <x v="1"/>
    <x v="6"/>
    <x v="5"/>
    <x v="12"/>
    <x v="6"/>
    <x v="3"/>
    <x v="7"/>
    <x v="49"/>
  </r>
  <r>
    <x v="50"/>
    <x v="0"/>
    <x v="0"/>
    <x v="0"/>
    <x v="4"/>
    <x v="0"/>
    <x v="3"/>
    <x v="2"/>
    <x v="50"/>
  </r>
  <r>
    <x v="17"/>
    <x v="1"/>
    <x v="5"/>
    <x v="2"/>
    <x v="10"/>
    <x v="5"/>
    <x v="6"/>
    <x v="1"/>
    <x v="12"/>
  </r>
  <r>
    <x v="51"/>
    <x v="0"/>
    <x v="5"/>
    <x v="2"/>
    <x v="9"/>
    <x v="5"/>
    <x v="3"/>
    <x v="8"/>
    <x v="10"/>
  </r>
  <r>
    <x v="27"/>
    <x v="0"/>
    <x v="1"/>
    <x v="1"/>
    <x v="11"/>
    <x v="1"/>
    <x v="4"/>
    <x v="9"/>
    <x v="51"/>
  </r>
  <r>
    <x v="44"/>
    <x v="1"/>
    <x v="0"/>
    <x v="0"/>
    <x v="2"/>
    <x v="0"/>
    <x v="4"/>
    <x v="4"/>
    <x v="52"/>
  </r>
  <r>
    <x v="52"/>
    <x v="3"/>
    <x v="5"/>
    <x v="2"/>
    <x v="6"/>
    <x v="5"/>
    <x v="3"/>
    <x v="0"/>
    <x v="34"/>
  </r>
  <r>
    <x v="28"/>
    <x v="1"/>
    <x v="6"/>
    <x v="5"/>
    <x v="1"/>
    <x v="6"/>
    <x v="2"/>
    <x v="8"/>
    <x v="11"/>
  </r>
  <r>
    <x v="36"/>
    <x v="3"/>
    <x v="1"/>
    <x v="1"/>
    <x v="15"/>
    <x v="1"/>
    <x v="4"/>
    <x v="9"/>
    <x v="25"/>
  </r>
  <r>
    <x v="53"/>
    <x v="2"/>
    <x v="5"/>
    <x v="2"/>
    <x v="19"/>
    <x v="5"/>
    <x v="1"/>
    <x v="4"/>
    <x v="53"/>
  </r>
  <r>
    <x v="54"/>
    <x v="1"/>
    <x v="4"/>
    <x v="4"/>
    <x v="0"/>
    <x v="4"/>
    <x v="0"/>
    <x v="0"/>
    <x v="29"/>
  </r>
  <r>
    <x v="55"/>
    <x v="0"/>
    <x v="6"/>
    <x v="5"/>
    <x v="7"/>
    <x v="6"/>
    <x v="4"/>
    <x v="7"/>
    <x v="14"/>
  </r>
  <r>
    <x v="51"/>
    <x v="2"/>
    <x v="0"/>
    <x v="0"/>
    <x v="18"/>
    <x v="0"/>
    <x v="6"/>
    <x v="4"/>
    <x v="54"/>
  </r>
  <r>
    <x v="56"/>
    <x v="3"/>
    <x v="3"/>
    <x v="3"/>
    <x v="11"/>
    <x v="3"/>
    <x v="4"/>
    <x v="9"/>
    <x v="15"/>
  </r>
  <r>
    <x v="28"/>
    <x v="0"/>
    <x v="1"/>
    <x v="1"/>
    <x v="14"/>
    <x v="1"/>
    <x v="4"/>
    <x v="6"/>
    <x v="55"/>
  </r>
  <r>
    <x v="44"/>
    <x v="3"/>
    <x v="3"/>
    <x v="3"/>
    <x v="3"/>
    <x v="3"/>
    <x v="4"/>
    <x v="10"/>
    <x v="3"/>
  </r>
  <r>
    <x v="57"/>
    <x v="1"/>
    <x v="2"/>
    <x v="2"/>
    <x v="18"/>
    <x v="2"/>
    <x v="6"/>
    <x v="2"/>
    <x v="56"/>
  </r>
  <r>
    <x v="58"/>
    <x v="0"/>
    <x v="4"/>
    <x v="4"/>
    <x v="12"/>
    <x v="4"/>
    <x v="3"/>
    <x v="3"/>
    <x v="16"/>
  </r>
  <r>
    <x v="59"/>
    <x v="1"/>
    <x v="6"/>
    <x v="5"/>
    <x v="4"/>
    <x v="6"/>
    <x v="6"/>
    <x v="13"/>
    <x v="57"/>
  </r>
  <r>
    <x v="60"/>
    <x v="2"/>
    <x v="1"/>
    <x v="1"/>
    <x v="14"/>
    <x v="1"/>
    <x v="5"/>
    <x v="8"/>
    <x v="55"/>
  </r>
  <r>
    <x v="49"/>
    <x v="2"/>
    <x v="1"/>
    <x v="1"/>
    <x v="18"/>
    <x v="1"/>
    <x v="2"/>
    <x v="8"/>
    <x v="45"/>
  </r>
  <r>
    <x v="61"/>
    <x v="2"/>
    <x v="1"/>
    <x v="1"/>
    <x v="0"/>
    <x v="1"/>
    <x v="1"/>
    <x v="11"/>
    <x v="26"/>
  </r>
  <r>
    <x v="62"/>
    <x v="0"/>
    <x v="6"/>
    <x v="5"/>
    <x v="18"/>
    <x v="6"/>
    <x v="3"/>
    <x v="11"/>
    <x v="24"/>
  </r>
  <r>
    <x v="63"/>
    <x v="1"/>
    <x v="5"/>
    <x v="2"/>
    <x v="14"/>
    <x v="5"/>
    <x v="2"/>
    <x v="1"/>
    <x v="58"/>
  </r>
  <r>
    <x v="18"/>
    <x v="0"/>
    <x v="3"/>
    <x v="3"/>
    <x v="5"/>
    <x v="3"/>
    <x v="6"/>
    <x v="10"/>
    <x v="59"/>
  </r>
  <r>
    <x v="64"/>
    <x v="2"/>
    <x v="5"/>
    <x v="2"/>
    <x v="10"/>
    <x v="5"/>
    <x v="6"/>
    <x v="13"/>
    <x v="12"/>
  </r>
  <r>
    <x v="65"/>
    <x v="1"/>
    <x v="0"/>
    <x v="0"/>
    <x v="18"/>
    <x v="0"/>
    <x v="4"/>
    <x v="11"/>
    <x v="54"/>
  </r>
  <r>
    <x v="66"/>
    <x v="1"/>
    <x v="3"/>
    <x v="3"/>
    <x v="3"/>
    <x v="3"/>
    <x v="4"/>
    <x v="12"/>
    <x v="3"/>
  </r>
  <r>
    <x v="16"/>
    <x v="2"/>
    <x v="0"/>
    <x v="0"/>
    <x v="9"/>
    <x v="0"/>
    <x v="3"/>
    <x v="6"/>
    <x v="19"/>
  </r>
  <r>
    <x v="67"/>
    <x v="1"/>
    <x v="2"/>
    <x v="2"/>
    <x v="8"/>
    <x v="2"/>
    <x v="3"/>
    <x v="1"/>
    <x v="60"/>
  </r>
  <r>
    <x v="1"/>
    <x v="0"/>
    <x v="5"/>
    <x v="2"/>
    <x v="4"/>
    <x v="5"/>
    <x v="4"/>
    <x v="5"/>
    <x v="36"/>
  </r>
  <r>
    <x v="68"/>
    <x v="3"/>
    <x v="0"/>
    <x v="0"/>
    <x v="11"/>
    <x v="0"/>
    <x v="2"/>
    <x v="6"/>
    <x v="61"/>
  </r>
  <r>
    <x v="69"/>
    <x v="1"/>
    <x v="0"/>
    <x v="0"/>
    <x v="9"/>
    <x v="0"/>
    <x v="1"/>
    <x v="10"/>
    <x v="19"/>
  </r>
  <r>
    <x v="70"/>
    <x v="3"/>
    <x v="6"/>
    <x v="5"/>
    <x v="17"/>
    <x v="6"/>
    <x v="2"/>
    <x v="10"/>
    <x v="42"/>
  </r>
  <r>
    <x v="39"/>
    <x v="1"/>
    <x v="0"/>
    <x v="0"/>
    <x v="4"/>
    <x v="0"/>
    <x v="5"/>
    <x v="12"/>
    <x v="50"/>
  </r>
  <r>
    <x v="71"/>
    <x v="1"/>
    <x v="4"/>
    <x v="4"/>
    <x v="5"/>
    <x v="4"/>
    <x v="5"/>
    <x v="7"/>
    <x v="62"/>
  </r>
  <r>
    <x v="72"/>
    <x v="1"/>
    <x v="1"/>
    <x v="1"/>
    <x v="2"/>
    <x v="1"/>
    <x v="6"/>
    <x v="1"/>
    <x v="27"/>
  </r>
  <r>
    <x v="73"/>
    <x v="1"/>
    <x v="4"/>
    <x v="4"/>
    <x v="9"/>
    <x v="4"/>
    <x v="5"/>
    <x v="0"/>
    <x v="52"/>
  </r>
  <r>
    <x v="70"/>
    <x v="0"/>
    <x v="6"/>
    <x v="5"/>
    <x v="3"/>
    <x v="6"/>
    <x v="0"/>
    <x v="9"/>
    <x v="37"/>
  </r>
  <r>
    <x v="74"/>
    <x v="2"/>
    <x v="4"/>
    <x v="4"/>
    <x v="14"/>
    <x v="4"/>
    <x v="1"/>
    <x v="8"/>
    <x v="63"/>
  </r>
  <r>
    <x v="50"/>
    <x v="0"/>
    <x v="0"/>
    <x v="0"/>
    <x v="9"/>
    <x v="0"/>
    <x v="2"/>
    <x v="1"/>
    <x v="19"/>
  </r>
  <r>
    <x v="75"/>
    <x v="0"/>
    <x v="1"/>
    <x v="1"/>
    <x v="9"/>
    <x v="1"/>
    <x v="0"/>
    <x v="10"/>
    <x v="64"/>
  </r>
  <r>
    <x v="76"/>
    <x v="3"/>
    <x v="5"/>
    <x v="2"/>
    <x v="3"/>
    <x v="5"/>
    <x v="6"/>
    <x v="5"/>
    <x v="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6C88A5-564E-4CDC-ACBA-F77B351DB99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ategory" colHeaderCaption="Region">
  <location ref="E35:L41" firstHeaderRow="1" firstDataRow="2" firstDataCol="1"/>
  <pivotFields count="10">
    <pivotField numFmtId="15" showAll="0">
      <items count="78">
        <item x="47"/>
        <item x="51"/>
        <item x="29"/>
        <item x="56"/>
        <item x="60"/>
        <item x="36"/>
        <item x="44"/>
        <item x="25"/>
        <item x="49"/>
        <item x="46"/>
        <item x="4"/>
        <item x="2"/>
        <item x="66"/>
        <item x="16"/>
        <item x="8"/>
        <item x="13"/>
        <item x="50"/>
        <item x="27"/>
        <item x="32"/>
        <item x="7"/>
        <item x="68"/>
        <item x="54"/>
        <item x="39"/>
        <item x="70"/>
        <item x="45"/>
        <item x="20"/>
        <item x="11"/>
        <item x="18"/>
        <item x="38"/>
        <item x="40"/>
        <item x="33"/>
        <item x="48"/>
        <item x="69"/>
        <item x="58"/>
        <item x="31"/>
        <item x="21"/>
        <item x="59"/>
        <item x="41"/>
        <item x="63"/>
        <item x="65"/>
        <item x="19"/>
        <item x="42"/>
        <item x="1"/>
        <item x="71"/>
        <item x="55"/>
        <item x="14"/>
        <item x="10"/>
        <item x="12"/>
        <item x="52"/>
        <item x="61"/>
        <item x="6"/>
        <item x="34"/>
        <item x="26"/>
        <item x="24"/>
        <item x="23"/>
        <item x="76"/>
        <item x="3"/>
        <item x="62"/>
        <item x="72"/>
        <item x="17"/>
        <item x="5"/>
        <item x="67"/>
        <item x="22"/>
        <item x="57"/>
        <item x="43"/>
        <item x="53"/>
        <item x="64"/>
        <item x="75"/>
        <item x="15"/>
        <item x="0"/>
        <item x="37"/>
        <item x="28"/>
        <item x="73"/>
        <item x="74"/>
        <item x="9"/>
        <item x="30"/>
        <item x="35"/>
        <item t="default"/>
      </items>
    </pivotField>
    <pivotField axis="axisRow" showAll="0">
      <items count="5">
        <item x="1"/>
        <item x="2"/>
        <item x="0"/>
        <item x="3"/>
        <item t="default"/>
      </items>
    </pivotField>
    <pivotField showAll="0">
      <items count="8">
        <item x="4"/>
        <item x="0"/>
        <item x="3"/>
        <item x="2"/>
        <item x="6"/>
        <item x="5"/>
        <item x="1"/>
        <item t="default"/>
      </items>
    </pivotField>
    <pivotField axis="axisCol" showAll="0">
      <items count="7">
        <item x="5"/>
        <item x="0"/>
        <item x="1"/>
        <item x="2"/>
        <item x="3"/>
        <item x="4"/>
        <item t="default"/>
      </items>
    </pivotField>
    <pivotField showAll="0"/>
    <pivotField numFmtId="44" showAll="0"/>
    <pivotField showAll="0">
      <items count="11">
        <item x="8"/>
        <item x="3"/>
        <item x="4"/>
        <item x="2"/>
        <item x="6"/>
        <item x="1"/>
        <item x="7"/>
        <item x="5"/>
        <item x="0"/>
        <item x="9"/>
        <item t="default"/>
      </items>
    </pivotField>
    <pivotField showAll="0">
      <items count="15">
        <item x="13"/>
        <item x="5"/>
        <item x="0"/>
        <item x="4"/>
        <item x="8"/>
        <item x="10"/>
        <item x="3"/>
        <item x="7"/>
        <item x="11"/>
        <item x="1"/>
        <item x="6"/>
        <item x="9"/>
        <item x="12"/>
        <item x="2"/>
        <item t="default"/>
      </items>
    </pivotField>
    <pivotField dataField="1" numFmtId="44" showAll="0">
      <items count="66">
        <item x="7"/>
        <item x="12"/>
        <item x="14"/>
        <item x="31"/>
        <item x="44"/>
        <item x="20"/>
        <item x="57"/>
        <item x="34"/>
        <item x="11"/>
        <item x="17"/>
        <item x="42"/>
        <item x="9"/>
        <item x="33"/>
        <item x="15"/>
        <item x="60"/>
        <item x="36"/>
        <item x="30"/>
        <item x="43"/>
        <item x="49"/>
        <item x="18"/>
        <item x="4"/>
        <item x="23"/>
        <item x="6"/>
        <item x="24"/>
        <item x="3"/>
        <item x="21"/>
        <item x="59"/>
        <item x="50"/>
        <item x="38"/>
        <item x="29"/>
        <item x="35"/>
        <item x="48"/>
        <item x="37"/>
        <item x="47"/>
        <item x="40"/>
        <item x="16"/>
        <item x="28"/>
        <item x="0"/>
        <item x="1"/>
        <item x="56"/>
        <item x="53"/>
        <item x="8"/>
        <item x="2"/>
        <item x="58"/>
        <item x="39"/>
        <item x="61"/>
        <item x="26"/>
        <item x="41"/>
        <item x="63"/>
        <item x="10"/>
        <item x="32"/>
        <item x="54"/>
        <item x="62"/>
        <item x="5"/>
        <item x="52"/>
        <item x="51"/>
        <item x="45"/>
        <item x="22"/>
        <item x="27"/>
        <item x="19"/>
        <item x="25"/>
        <item x="55"/>
        <item x="13"/>
        <item x="46"/>
        <item x="64"/>
        <item t="default"/>
      </items>
    </pivotField>
    <pivotField showAll="0">
      <items count="7">
        <item sd="0" x="0"/>
        <item sd="0" x="1"/>
        <item sd="0" x="2"/>
        <item sd="0" x="3"/>
        <item sd="0" x="4"/>
        <item sd="0" x="5"/>
        <item t="default"/>
      </items>
    </pivotField>
  </pivotFields>
  <rowFields count="1">
    <field x="1"/>
  </rowFields>
  <rowItems count="5">
    <i>
      <x/>
    </i>
    <i>
      <x v="1"/>
    </i>
    <i>
      <x v="2"/>
    </i>
    <i>
      <x v="3"/>
    </i>
    <i t="grand">
      <x/>
    </i>
  </rowItems>
  <colFields count="1">
    <field x="3"/>
  </colFields>
  <colItems count="7">
    <i>
      <x/>
    </i>
    <i>
      <x v="1"/>
    </i>
    <i>
      <x v="2"/>
    </i>
    <i>
      <x v="3"/>
    </i>
    <i>
      <x v="4"/>
    </i>
    <i>
      <x v="5"/>
    </i>
    <i t="grand">
      <x/>
    </i>
  </colItems>
  <dataFields count="1">
    <dataField name=" Revenue" fld="8" baseField="0" baseItem="0" numFmtId="166"/>
  </dataFields>
  <formats count="2">
    <format dxfId="15">
      <pivotArea dataOnly="0" labelOnly="1" outline="0" axis="axisValues" fieldPosition="0"/>
    </format>
    <format dxfId="14">
      <pivotArea outline="0" fieldPosition="0">
        <references count="1">
          <reference field="4294967294" count="1">
            <x v="0"/>
          </reference>
        </references>
      </pivotArea>
    </format>
  </formats>
  <chartFormats count="1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0" format="6" series="1">
      <pivotArea type="data" outline="0" fieldPosition="0">
        <references count="2">
          <reference field="4294967294" count="1" selected="0">
            <x v="0"/>
          </reference>
          <reference field="3" count="1" selected="0">
            <x v="0"/>
          </reference>
        </references>
      </pivotArea>
    </chartFormat>
    <chartFormat chart="0" format="7" series="1">
      <pivotArea type="data" outline="0" fieldPosition="0">
        <references count="2">
          <reference field="4294967294" count="1" selected="0">
            <x v="0"/>
          </reference>
          <reference field="3" count="1" selected="0">
            <x v="1"/>
          </reference>
        </references>
      </pivotArea>
    </chartFormat>
    <chartFormat chart="0" format="8" series="1">
      <pivotArea type="data" outline="0" fieldPosition="0">
        <references count="2">
          <reference field="4294967294" count="1" selected="0">
            <x v="0"/>
          </reference>
          <reference field="3" count="1" selected="0">
            <x v="2"/>
          </reference>
        </references>
      </pivotArea>
    </chartFormat>
    <chartFormat chart="0" format="9" series="1">
      <pivotArea type="data" outline="0" fieldPosition="0">
        <references count="2">
          <reference field="4294967294" count="1" selected="0">
            <x v="0"/>
          </reference>
          <reference field="3" count="1" selected="0">
            <x v="3"/>
          </reference>
        </references>
      </pivotArea>
    </chartFormat>
    <chartFormat chart="13" format="16" series="1">
      <pivotArea type="data" outline="0" fieldPosition="0">
        <references count="2">
          <reference field="4294967294" count="1" selected="0">
            <x v="0"/>
          </reference>
          <reference field="3" count="1" selected="0">
            <x v="0"/>
          </reference>
        </references>
      </pivotArea>
    </chartFormat>
    <chartFormat chart="13" format="17" series="1">
      <pivotArea type="data" outline="0" fieldPosition="0">
        <references count="2">
          <reference field="4294967294" count="1" selected="0">
            <x v="0"/>
          </reference>
          <reference field="3" count="1" selected="0">
            <x v="1"/>
          </reference>
        </references>
      </pivotArea>
    </chartFormat>
    <chartFormat chart="13" format="18" series="1">
      <pivotArea type="data" outline="0" fieldPosition="0">
        <references count="2">
          <reference field="4294967294" count="1" selected="0">
            <x v="0"/>
          </reference>
          <reference field="3" count="1" selected="0">
            <x v="2"/>
          </reference>
        </references>
      </pivotArea>
    </chartFormat>
    <chartFormat chart="13" format="19" series="1">
      <pivotArea type="data" outline="0" fieldPosition="0">
        <references count="2">
          <reference field="4294967294" count="1" selected="0">
            <x v="0"/>
          </reference>
          <reference field="3" count="1" selected="0">
            <x v="3"/>
          </reference>
        </references>
      </pivotArea>
    </chartFormat>
    <chartFormat chart="13" format="20" series="1">
      <pivotArea type="data" outline="0" fieldPosition="0">
        <references count="2">
          <reference field="4294967294" count="1" selected="0">
            <x v="0"/>
          </reference>
          <reference field="3" count="1" selected="0">
            <x v="4"/>
          </reference>
        </references>
      </pivotArea>
    </chartFormat>
    <chartFormat chart="13" format="21"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10ECB1-4098-45D6-A49C-C0E91506D14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Rep">
  <location ref="E26:F30" firstHeaderRow="1" firstDataRow="1" firstDataCol="1"/>
  <pivotFields count="10">
    <pivotField numFmtId="15" showAll="0">
      <items count="78">
        <item x="47"/>
        <item x="51"/>
        <item x="29"/>
        <item x="56"/>
        <item x="60"/>
        <item x="36"/>
        <item x="44"/>
        <item x="25"/>
        <item x="49"/>
        <item x="46"/>
        <item x="4"/>
        <item x="2"/>
        <item x="66"/>
        <item x="16"/>
        <item x="8"/>
        <item x="13"/>
        <item x="50"/>
        <item x="27"/>
        <item x="32"/>
        <item x="7"/>
        <item x="68"/>
        <item x="54"/>
        <item x="39"/>
        <item x="70"/>
        <item x="45"/>
        <item x="20"/>
        <item x="11"/>
        <item x="18"/>
        <item x="38"/>
        <item x="40"/>
        <item x="33"/>
        <item x="48"/>
        <item x="69"/>
        <item x="58"/>
        <item x="31"/>
        <item x="21"/>
        <item x="59"/>
        <item x="41"/>
        <item x="63"/>
        <item x="65"/>
        <item x="19"/>
        <item x="42"/>
        <item x="1"/>
        <item x="71"/>
        <item x="55"/>
        <item x="14"/>
        <item x="10"/>
        <item x="12"/>
        <item x="52"/>
        <item x="61"/>
        <item x="6"/>
        <item x="34"/>
        <item x="26"/>
        <item x="24"/>
        <item x="23"/>
        <item x="76"/>
        <item x="3"/>
        <item x="62"/>
        <item x="72"/>
        <item x="17"/>
        <item x="5"/>
        <item x="67"/>
        <item x="22"/>
        <item x="57"/>
        <item x="43"/>
        <item x="53"/>
        <item x="64"/>
        <item x="75"/>
        <item x="15"/>
        <item x="0"/>
        <item x="37"/>
        <item x="28"/>
        <item x="73"/>
        <item x="74"/>
        <item x="9"/>
        <item x="30"/>
        <item x="35"/>
        <item t="default"/>
      </items>
    </pivotField>
    <pivotField showAll="0">
      <items count="5">
        <item x="1"/>
        <item x="2"/>
        <item x="0"/>
        <item x="3"/>
        <item t="default"/>
      </items>
    </pivotField>
    <pivotField showAll="0">
      <items count="8">
        <item x="4"/>
        <item x="0"/>
        <item x="3"/>
        <item x="2"/>
        <item x="6"/>
        <item x="5"/>
        <item x="1"/>
        <item t="default"/>
      </items>
    </pivotField>
    <pivotField showAll="0"/>
    <pivotField showAll="0"/>
    <pivotField numFmtId="44" showAll="0"/>
    <pivotField axis="axisRow" showAll="0" measureFilter="1">
      <items count="11">
        <item x="8"/>
        <item x="3"/>
        <item x="4"/>
        <item x="2"/>
        <item x="6"/>
        <item x="1"/>
        <item x="7"/>
        <item x="5"/>
        <item x="0"/>
        <item x="9"/>
        <item t="default"/>
      </items>
    </pivotField>
    <pivotField showAll="0">
      <items count="15">
        <item x="13"/>
        <item x="5"/>
        <item x="0"/>
        <item x="4"/>
        <item x="8"/>
        <item x="10"/>
        <item x="3"/>
        <item x="7"/>
        <item x="11"/>
        <item x="1"/>
        <item x="6"/>
        <item x="9"/>
        <item x="12"/>
        <item x="2"/>
        <item t="default"/>
      </items>
    </pivotField>
    <pivotField dataField="1" numFmtId="44" showAll="0">
      <items count="66">
        <item x="7"/>
        <item x="12"/>
        <item x="14"/>
        <item x="31"/>
        <item x="44"/>
        <item x="20"/>
        <item x="57"/>
        <item x="34"/>
        <item x="11"/>
        <item x="17"/>
        <item x="42"/>
        <item x="9"/>
        <item x="33"/>
        <item x="15"/>
        <item x="60"/>
        <item x="36"/>
        <item x="30"/>
        <item x="43"/>
        <item x="49"/>
        <item x="18"/>
        <item x="4"/>
        <item x="23"/>
        <item x="6"/>
        <item x="24"/>
        <item x="3"/>
        <item x="21"/>
        <item x="59"/>
        <item x="50"/>
        <item x="38"/>
        <item x="29"/>
        <item x="35"/>
        <item x="48"/>
        <item x="37"/>
        <item x="47"/>
        <item x="40"/>
        <item x="16"/>
        <item x="28"/>
        <item x="0"/>
        <item x="1"/>
        <item x="56"/>
        <item x="53"/>
        <item x="8"/>
        <item x="2"/>
        <item x="58"/>
        <item x="39"/>
        <item x="61"/>
        <item x="26"/>
        <item x="41"/>
        <item x="63"/>
        <item x="10"/>
        <item x="32"/>
        <item x="54"/>
        <item x="62"/>
        <item x="5"/>
        <item x="52"/>
        <item x="51"/>
        <item x="45"/>
        <item x="22"/>
        <item x="27"/>
        <item x="19"/>
        <item x="25"/>
        <item x="55"/>
        <item x="13"/>
        <item x="46"/>
        <item x="64"/>
        <item t="default"/>
      </items>
    </pivotField>
    <pivotField showAll="0">
      <items count="7">
        <item x="0"/>
        <item x="1"/>
        <item x="2"/>
        <item x="3"/>
        <item x="4"/>
        <item x="5"/>
        <item t="default"/>
      </items>
    </pivotField>
  </pivotFields>
  <rowFields count="1">
    <field x="6"/>
  </rowFields>
  <rowItems count="4">
    <i>
      <x v="2"/>
    </i>
    <i>
      <x v="3"/>
    </i>
    <i>
      <x v="4"/>
    </i>
    <i t="grand">
      <x/>
    </i>
  </rowItems>
  <colItems count="1">
    <i/>
  </colItems>
  <dataFields count="1">
    <dataField name="SR Revenue" fld="8" baseField="6" baseItem="0" numFmtId="166"/>
  </dataFields>
  <formats count="2">
    <format dxfId="17">
      <pivotArea dataOnly="0" labelOnly="1" outline="0" axis="axisValues" fieldPosition="0"/>
    </format>
    <format dxfId="16">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6"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2B66EA-B7AD-47A1-8234-9DF1372988B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E48:F56" firstHeaderRow="1" firstDataRow="1" firstDataCol="1"/>
  <pivotFields count="10">
    <pivotField numFmtId="15" showAll="0">
      <items count="78">
        <item x="47"/>
        <item x="51"/>
        <item x="29"/>
        <item x="56"/>
        <item x="60"/>
        <item x="36"/>
        <item x="44"/>
        <item x="25"/>
        <item x="49"/>
        <item x="46"/>
        <item x="4"/>
        <item x="2"/>
        <item x="66"/>
        <item x="16"/>
        <item x="8"/>
        <item x="13"/>
        <item x="50"/>
        <item x="27"/>
        <item x="32"/>
        <item x="7"/>
        <item x="68"/>
        <item x="54"/>
        <item x="39"/>
        <item x="70"/>
        <item x="45"/>
        <item x="20"/>
        <item x="11"/>
        <item x="18"/>
        <item x="38"/>
        <item x="40"/>
        <item x="33"/>
        <item x="48"/>
        <item x="69"/>
        <item x="58"/>
        <item x="31"/>
        <item x="21"/>
        <item x="59"/>
        <item x="41"/>
        <item x="63"/>
        <item x="65"/>
        <item x="19"/>
        <item x="42"/>
        <item x="1"/>
        <item x="71"/>
        <item x="55"/>
        <item x="14"/>
        <item x="10"/>
        <item x="12"/>
        <item x="52"/>
        <item x="61"/>
        <item x="6"/>
        <item x="34"/>
        <item x="26"/>
        <item x="24"/>
        <item x="23"/>
        <item x="76"/>
        <item x="3"/>
        <item x="62"/>
        <item x="72"/>
        <item x="17"/>
        <item x="5"/>
        <item x="67"/>
        <item x="22"/>
        <item x="57"/>
        <item x="43"/>
        <item x="53"/>
        <item x="64"/>
        <item x="75"/>
        <item x="15"/>
        <item x="0"/>
        <item x="37"/>
        <item x="28"/>
        <item x="73"/>
        <item x="74"/>
        <item x="9"/>
        <item x="30"/>
        <item x="35"/>
        <item t="default"/>
      </items>
    </pivotField>
    <pivotField showAll="0">
      <items count="5">
        <item x="1"/>
        <item x="2"/>
        <item x="0"/>
        <item x="3"/>
        <item t="default"/>
      </items>
    </pivotField>
    <pivotField axis="axisRow" showAll="0" sortType="descending">
      <items count="8">
        <item x="4"/>
        <item x="0"/>
        <item x="3"/>
        <item x="2"/>
        <item x="6"/>
        <item x="5"/>
        <item x="1"/>
        <item t="default"/>
      </items>
      <autoSortScope>
        <pivotArea dataOnly="0" outline="0" fieldPosition="0">
          <references count="1">
            <reference field="4294967294" count="1" selected="0">
              <x v="0"/>
            </reference>
          </references>
        </pivotArea>
      </autoSortScope>
    </pivotField>
    <pivotField showAll="0"/>
    <pivotField dataField="1" showAll="0"/>
    <pivotField numFmtId="44" showAll="0"/>
    <pivotField showAll="0">
      <items count="11">
        <item x="8"/>
        <item x="3"/>
        <item x="4"/>
        <item x="2"/>
        <item x="6"/>
        <item x="1"/>
        <item x="7"/>
        <item x="5"/>
        <item x="0"/>
        <item x="9"/>
        <item t="default"/>
      </items>
    </pivotField>
    <pivotField showAll="0">
      <items count="15">
        <item x="13"/>
        <item x="5"/>
        <item x="0"/>
        <item x="4"/>
        <item x="8"/>
        <item x="10"/>
        <item x="3"/>
        <item x="7"/>
        <item x="11"/>
        <item x="1"/>
        <item x="6"/>
        <item x="9"/>
        <item x="12"/>
        <item x="2"/>
        <item t="default"/>
      </items>
    </pivotField>
    <pivotField numFmtId="44" showAll="0">
      <items count="66">
        <item x="7"/>
        <item x="12"/>
        <item x="14"/>
        <item x="31"/>
        <item x="44"/>
        <item x="20"/>
        <item x="57"/>
        <item x="34"/>
        <item x="11"/>
        <item x="17"/>
        <item x="42"/>
        <item x="9"/>
        <item x="33"/>
        <item x="15"/>
        <item x="60"/>
        <item x="36"/>
        <item x="30"/>
        <item x="43"/>
        <item x="49"/>
        <item x="18"/>
        <item x="4"/>
        <item x="23"/>
        <item x="6"/>
        <item x="24"/>
        <item x="3"/>
        <item x="21"/>
        <item x="59"/>
        <item x="50"/>
        <item x="38"/>
        <item x="29"/>
        <item x="35"/>
        <item x="48"/>
        <item x="37"/>
        <item x="47"/>
        <item x="40"/>
        <item x="16"/>
        <item x="28"/>
        <item x="0"/>
        <item x="1"/>
        <item x="56"/>
        <item x="53"/>
        <item x="8"/>
        <item x="2"/>
        <item x="58"/>
        <item x="39"/>
        <item x="61"/>
        <item x="26"/>
        <item x="41"/>
        <item x="63"/>
        <item x="10"/>
        <item x="32"/>
        <item x="54"/>
        <item x="62"/>
        <item x="5"/>
        <item x="52"/>
        <item x="51"/>
        <item x="45"/>
        <item x="22"/>
        <item x="27"/>
        <item x="19"/>
        <item x="25"/>
        <item x="55"/>
        <item x="13"/>
        <item x="46"/>
        <item x="64"/>
        <item t="default"/>
      </items>
    </pivotField>
    <pivotField showAll="0">
      <items count="7">
        <item sd="0" x="0"/>
        <item sd="0" x="1"/>
        <item sd="0" x="2"/>
        <item sd="0" x="3"/>
        <item sd="0" x="4"/>
        <item sd="0" x="5"/>
        <item t="default"/>
      </items>
    </pivotField>
  </pivotFields>
  <rowFields count="1">
    <field x="2"/>
  </rowFields>
  <rowItems count="8">
    <i>
      <x v="5"/>
    </i>
    <i>
      <x v="6"/>
    </i>
    <i>
      <x v="1"/>
    </i>
    <i>
      <x v="2"/>
    </i>
    <i>
      <x/>
    </i>
    <i>
      <x v="4"/>
    </i>
    <i>
      <x v="3"/>
    </i>
    <i t="grand">
      <x/>
    </i>
  </rowItems>
  <colItems count="1">
    <i/>
  </colItems>
  <dataFields count="1">
    <dataField name="P  Units Sold" fld="4" baseField="2" baseItem="0"/>
  </dataFields>
  <formats count="1">
    <format dxfId="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D7247A-96B2-4182-B7FF-B09B8D59CE2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Rep">
  <location ref="O35:P46" firstHeaderRow="1" firstDataRow="1" firstDataCol="1"/>
  <pivotFields count="10">
    <pivotField numFmtId="15" showAll="0">
      <items count="78">
        <item x="47"/>
        <item x="51"/>
        <item x="29"/>
        <item x="56"/>
        <item x="60"/>
        <item x="36"/>
        <item x="44"/>
        <item x="25"/>
        <item x="49"/>
        <item x="46"/>
        <item x="4"/>
        <item x="2"/>
        <item x="66"/>
        <item x="16"/>
        <item x="8"/>
        <item x="13"/>
        <item x="50"/>
        <item x="27"/>
        <item x="32"/>
        <item x="7"/>
        <item x="68"/>
        <item x="54"/>
        <item x="39"/>
        <item x="70"/>
        <item x="45"/>
        <item x="20"/>
        <item x="11"/>
        <item x="18"/>
        <item x="38"/>
        <item x="40"/>
        <item x="33"/>
        <item x="48"/>
        <item x="69"/>
        <item x="58"/>
        <item x="31"/>
        <item x="21"/>
        <item x="59"/>
        <item x="41"/>
        <item x="63"/>
        <item x="65"/>
        <item x="19"/>
        <item x="42"/>
        <item x="1"/>
        <item x="71"/>
        <item x="55"/>
        <item x="14"/>
        <item x="10"/>
        <item x="12"/>
        <item x="52"/>
        <item x="61"/>
        <item x="6"/>
        <item x="34"/>
        <item x="26"/>
        <item x="24"/>
        <item x="23"/>
        <item x="76"/>
        <item x="3"/>
        <item x="62"/>
        <item x="72"/>
        <item x="17"/>
        <item x="5"/>
        <item x="67"/>
        <item x="22"/>
        <item x="57"/>
        <item x="43"/>
        <item x="53"/>
        <item x="64"/>
        <item x="75"/>
        <item x="15"/>
        <item x="0"/>
        <item x="37"/>
        <item x="28"/>
        <item x="73"/>
        <item x="74"/>
        <item x="9"/>
        <item x="30"/>
        <item x="35"/>
        <item t="default"/>
      </items>
    </pivotField>
    <pivotField showAll="0">
      <items count="5">
        <item x="1"/>
        <item x="2"/>
        <item x="0"/>
        <item x="3"/>
        <item t="default"/>
      </items>
    </pivotField>
    <pivotField showAll="0">
      <items count="8">
        <item x="4"/>
        <item x="0"/>
        <item x="3"/>
        <item x="2"/>
        <item x="6"/>
        <item x="5"/>
        <item x="1"/>
        <item t="default"/>
      </items>
    </pivotField>
    <pivotField showAll="0"/>
    <pivotField dataField="1" showAll="0"/>
    <pivotField numFmtId="44" showAll="0"/>
    <pivotField axis="axisRow" showAll="0" sortType="descending">
      <items count="11">
        <item x="8"/>
        <item x="3"/>
        <item x="4"/>
        <item x="2"/>
        <item x="6"/>
        <item x="1"/>
        <item x="7"/>
        <item x="5"/>
        <item x="0"/>
        <item x="9"/>
        <item t="default"/>
      </items>
      <autoSortScope>
        <pivotArea dataOnly="0" outline="0" fieldPosition="0">
          <references count="1">
            <reference field="4294967294" count="1" selected="0">
              <x v="0"/>
            </reference>
          </references>
        </pivotArea>
      </autoSortScope>
    </pivotField>
    <pivotField showAll="0">
      <items count="15">
        <item x="13"/>
        <item x="5"/>
        <item x="0"/>
        <item x="4"/>
        <item x="8"/>
        <item x="10"/>
        <item x="3"/>
        <item x="7"/>
        <item x="11"/>
        <item x="1"/>
        <item x="6"/>
        <item x="9"/>
        <item x="12"/>
        <item x="2"/>
        <item t="default"/>
      </items>
    </pivotField>
    <pivotField numFmtId="44" showAll="0">
      <items count="66">
        <item x="7"/>
        <item x="12"/>
        <item x="14"/>
        <item x="31"/>
        <item x="44"/>
        <item x="20"/>
        <item x="57"/>
        <item x="34"/>
        <item x="11"/>
        <item x="17"/>
        <item x="42"/>
        <item x="9"/>
        <item x="33"/>
        <item x="15"/>
        <item x="60"/>
        <item x="36"/>
        <item x="30"/>
        <item x="43"/>
        <item x="49"/>
        <item x="18"/>
        <item x="4"/>
        <item x="23"/>
        <item x="6"/>
        <item x="24"/>
        <item x="3"/>
        <item x="21"/>
        <item x="59"/>
        <item x="50"/>
        <item x="38"/>
        <item x="29"/>
        <item x="35"/>
        <item x="48"/>
        <item x="37"/>
        <item x="47"/>
        <item x="40"/>
        <item x="16"/>
        <item x="28"/>
        <item x="0"/>
        <item x="1"/>
        <item x="56"/>
        <item x="53"/>
        <item x="8"/>
        <item x="2"/>
        <item x="58"/>
        <item x="39"/>
        <item x="61"/>
        <item x="26"/>
        <item x="41"/>
        <item x="63"/>
        <item x="10"/>
        <item x="32"/>
        <item x="54"/>
        <item x="62"/>
        <item x="5"/>
        <item x="52"/>
        <item x="51"/>
        <item x="45"/>
        <item x="22"/>
        <item x="27"/>
        <item x="19"/>
        <item x="25"/>
        <item x="55"/>
        <item x="13"/>
        <item x="46"/>
        <item x="64"/>
        <item t="default"/>
      </items>
    </pivotField>
    <pivotField showAll="0">
      <items count="7">
        <item sd="0" x="0"/>
        <item sd="0" x="1"/>
        <item sd="0" x="2"/>
        <item sd="0" x="3"/>
        <item sd="0" x="4"/>
        <item sd="0" x="5"/>
        <item t="default"/>
      </items>
    </pivotField>
  </pivotFields>
  <rowFields count="1">
    <field x="6"/>
  </rowFields>
  <rowItems count="11">
    <i>
      <x v="2"/>
    </i>
    <i>
      <x v="3"/>
    </i>
    <i>
      <x v="4"/>
    </i>
    <i>
      <x v="5"/>
    </i>
    <i>
      <x v="1"/>
    </i>
    <i>
      <x v="8"/>
    </i>
    <i>
      <x v="7"/>
    </i>
    <i>
      <x v="9"/>
    </i>
    <i>
      <x v="6"/>
    </i>
    <i>
      <x/>
    </i>
    <i t="grand">
      <x/>
    </i>
  </rowItems>
  <colItems count="1">
    <i/>
  </colItems>
  <dataFields count="1">
    <dataField name="SR Units Sold" fld="4" baseField="6" baseItem="0"/>
  </dataFields>
  <formats count="1">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00618A-C75E-4D24-83BC-3360251CDB8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E3:F8" firstHeaderRow="1" firstDataRow="1" firstDataCol="1"/>
  <pivotFields count="10">
    <pivotField numFmtId="15" showAll="0">
      <items count="78">
        <item x="47"/>
        <item x="51"/>
        <item x="29"/>
        <item x="56"/>
        <item x="60"/>
        <item x="36"/>
        <item x="44"/>
        <item x="25"/>
        <item x="49"/>
        <item x="46"/>
        <item x="4"/>
        <item x="2"/>
        <item x="66"/>
        <item x="16"/>
        <item x="8"/>
        <item x="13"/>
        <item x="50"/>
        <item x="27"/>
        <item x="32"/>
        <item x="7"/>
        <item x="68"/>
        <item x="54"/>
        <item x="39"/>
        <item x="70"/>
        <item x="45"/>
        <item x="20"/>
        <item x="11"/>
        <item x="18"/>
        <item x="38"/>
        <item x="40"/>
        <item x="33"/>
        <item x="48"/>
        <item x="69"/>
        <item x="58"/>
        <item x="31"/>
        <item x="21"/>
        <item x="59"/>
        <item x="41"/>
        <item x="63"/>
        <item x="65"/>
        <item x="19"/>
        <item x="42"/>
        <item x="1"/>
        <item x="71"/>
        <item x="55"/>
        <item x="14"/>
        <item x="10"/>
        <item x="12"/>
        <item x="52"/>
        <item x="61"/>
        <item x="6"/>
        <item x="34"/>
        <item x="26"/>
        <item x="24"/>
        <item x="23"/>
        <item x="76"/>
        <item x="3"/>
        <item x="62"/>
        <item x="72"/>
        <item x="17"/>
        <item x="5"/>
        <item x="67"/>
        <item x="22"/>
        <item x="57"/>
        <item x="43"/>
        <item x="53"/>
        <item x="64"/>
        <item x="75"/>
        <item x="15"/>
        <item x="0"/>
        <item x="37"/>
        <item x="28"/>
        <item x="73"/>
        <item x="74"/>
        <item x="9"/>
        <item x="30"/>
        <item x="35"/>
        <item t="default"/>
      </items>
    </pivotField>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items count="8">
        <item x="4"/>
        <item x="0"/>
        <item x="3"/>
        <item x="2"/>
        <item x="6"/>
        <item x="5"/>
        <item x="1"/>
        <item t="default"/>
      </items>
    </pivotField>
    <pivotField showAll="0"/>
    <pivotField showAll="0"/>
    <pivotField numFmtId="44" showAll="0"/>
    <pivotField showAll="0"/>
    <pivotField showAll="0"/>
    <pivotField dataField="1" numFmtId="44" showAll="0"/>
    <pivotField showAll="0">
      <items count="7">
        <item x="0"/>
        <item x="1"/>
        <item x="2"/>
        <item x="3"/>
        <item x="4"/>
        <item x="5"/>
        <item t="default"/>
      </items>
    </pivotField>
  </pivotFields>
  <rowFields count="1">
    <field x="1"/>
  </rowFields>
  <rowItems count="5">
    <i>
      <x/>
    </i>
    <i>
      <x v="2"/>
    </i>
    <i>
      <x v="3"/>
    </i>
    <i>
      <x v="1"/>
    </i>
    <i t="grand">
      <x/>
    </i>
  </rowItems>
  <colItems count="1">
    <i/>
  </colItems>
  <dataFields count="1">
    <dataField name="R Revenue" fld="8" baseField="1" baseItem="0" numFmtId="166"/>
  </dataFields>
  <formats count="2">
    <format dxfId="21">
      <pivotArea dataOnly="0" labelOnly="1" outline="0" axis="axisValues" fieldPosition="0"/>
    </format>
    <format dxfId="2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3AA8F7-AD58-4138-BF7C-45FD0E421BA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ales Rep">
  <location ref="K25:L31" firstHeaderRow="1" firstDataRow="1" firstDataCol="1"/>
  <pivotFields count="10">
    <pivotField numFmtId="15" showAll="0">
      <items count="78">
        <item x="47"/>
        <item x="51"/>
        <item x="29"/>
        <item x="56"/>
        <item x="60"/>
        <item x="36"/>
        <item x="44"/>
        <item x="25"/>
        <item x="49"/>
        <item x="46"/>
        <item x="4"/>
        <item x="2"/>
        <item x="66"/>
        <item x="16"/>
        <item x="8"/>
        <item x="13"/>
        <item x="50"/>
        <item x="27"/>
        <item x="32"/>
        <item x="7"/>
        <item x="68"/>
        <item x="54"/>
        <item x="39"/>
        <item x="70"/>
        <item x="45"/>
        <item x="20"/>
        <item x="11"/>
        <item x="18"/>
        <item x="38"/>
        <item x="40"/>
        <item x="33"/>
        <item x="48"/>
        <item x="69"/>
        <item x="58"/>
        <item x="31"/>
        <item x="21"/>
        <item x="59"/>
        <item x="41"/>
        <item x="63"/>
        <item x="65"/>
        <item x="19"/>
        <item x="42"/>
        <item x="1"/>
        <item x="71"/>
        <item x="55"/>
        <item x="14"/>
        <item x="10"/>
        <item x="12"/>
        <item x="52"/>
        <item x="61"/>
        <item x="6"/>
        <item x="34"/>
        <item x="26"/>
        <item x="24"/>
        <item x="23"/>
        <item x="76"/>
        <item x="3"/>
        <item x="62"/>
        <item x="72"/>
        <item x="17"/>
        <item x="5"/>
        <item x="67"/>
        <item x="22"/>
        <item x="57"/>
        <item x="43"/>
        <item x="53"/>
        <item x="64"/>
        <item x="75"/>
        <item x="15"/>
        <item x="0"/>
        <item x="37"/>
        <item x="28"/>
        <item x="73"/>
        <item x="74"/>
        <item x="9"/>
        <item x="30"/>
        <item x="35"/>
        <item t="default"/>
      </items>
    </pivotField>
    <pivotField showAll="0">
      <items count="5">
        <item x="1"/>
        <item x="2"/>
        <item x="0"/>
        <item x="3"/>
        <item t="default"/>
      </items>
    </pivotField>
    <pivotField showAll="0">
      <items count="8">
        <item x="4"/>
        <item x="0"/>
        <item x="3"/>
        <item x="2"/>
        <item x="6"/>
        <item x="5"/>
        <item x="1"/>
        <item t="default"/>
      </items>
    </pivotField>
    <pivotField showAll="0"/>
    <pivotField showAll="0"/>
    <pivotField numFmtId="44" showAll="0"/>
    <pivotField axis="axisRow" showAll="0" measureFilter="1" sortType="descending">
      <items count="11">
        <item x="8"/>
        <item x="3"/>
        <item x="4"/>
        <item x="2"/>
        <item x="6"/>
        <item x="1"/>
        <item x="7"/>
        <item x="5"/>
        <item x="0"/>
        <item x="9"/>
        <item t="default"/>
      </items>
      <autoSortScope>
        <pivotArea dataOnly="0" outline="0" fieldPosition="0">
          <references count="1">
            <reference field="4294967294" count="1" selected="0">
              <x v="0"/>
            </reference>
          </references>
        </pivotArea>
      </autoSortScope>
    </pivotField>
    <pivotField showAll="0">
      <items count="15">
        <item x="13"/>
        <item x="5"/>
        <item x="0"/>
        <item x="4"/>
        <item x="8"/>
        <item x="10"/>
        <item x="3"/>
        <item x="7"/>
        <item x="11"/>
        <item x="1"/>
        <item x="6"/>
        <item x="9"/>
        <item x="12"/>
        <item x="2"/>
        <item t="default"/>
      </items>
    </pivotField>
    <pivotField dataField="1" numFmtId="44" showAll="0">
      <items count="66">
        <item x="7"/>
        <item x="12"/>
        <item x="14"/>
        <item x="31"/>
        <item x="44"/>
        <item x="20"/>
        <item x="57"/>
        <item x="34"/>
        <item x="11"/>
        <item x="17"/>
        <item x="42"/>
        <item x="9"/>
        <item x="33"/>
        <item x="15"/>
        <item x="60"/>
        <item x="36"/>
        <item x="30"/>
        <item x="43"/>
        <item x="49"/>
        <item x="18"/>
        <item x="4"/>
        <item x="23"/>
        <item x="6"/>
        <item x="24"/>
        <item x="3"/>
        <item x="21"/>
        <item x="59"/>
        <item x="50"/>
        <item x="38"/>
        <item x="29"/>
        <item x="35"/>
        <item x="48"/>
        <item x="37"/>
        <item x="47"/>
        <item x="40"/>
        <item x="16"/>
        <item x="28"/>
        <item x="0"/>
        <item x="1"/>
        <item x="56"/>
        <item x="53"/>
        <item x="8"/>
        <item x="2"/>
        <item x="58"/>
        <item x="39"/>
        <item x="61"/>
        <item x="26"/>
        <item x="41"/>
        <item x="63"/>
        <item x="10"/>
        <item x="32"/>
        <item x="54"/>
        <item x="62"/>
        <item x="5"/>
        <item x="52"/>
        <item x="51"/>
        <item x="45"/>
        <item x="22"/>
        <item x="27"/>
        <item x="19"/>
        <item x="25"/>
        <item x="55"/>
        <item x="13"/>
        <item x="46"/>
        <item x="64"/>
        <item t="default"/>
      </items>
    </pivotField>
    <pivotField showAll="0">
      <items count="7">
        <item x="0"/>
        <item x="1"/>
        <item x="2"/>
        <item x="3"/>
        <item x="4"/>
        <item x="5"/>
        <item t="default"/>
      </items>
    </pivotField>
  </pivotFields>
  <rowFields count="1">
    <field x="6"/>
  </rowFields>
  <rowItems count="6">
    <i>
      <x v="8"/>
    </i>
    <i>
      <x v="7"/>
    </i>
    <i>
      <x v="6"/>
    </i>
    <i>
      <x v="9"/>
    </i>
    <i>
      <x/>
    </i>
    <i t="grand">
      <x/>
    </i>
  </rowItems>
  <colItems count="1">
    <i/>
  </colItems>
  <dataFields count="1">
    <dataField name="SR Revenue" fld="8" baseField="6" baseItem="0" numFmtId="166"/>
  </dataFields>
  <formats count="2">
    <format dxfId="23">
      <pivotArea dataOnly="0" labelOnly="1" outline="0" axis="axisValues" fieldPosition="0"/>
    </format>
    <format dxfId="22">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542125E-55C3-4BBF-B86E-2C07B9BBF0F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B48:C56" firstHeaderRow="1" firstDataRow="1" firstDataCol="1"/>
  <pivotFields count="10">
    <pivotField numFmtId="15" showAll="0">
      <items count="78">
        <item x="47"/>
        <item x="51"/>
        <item x="29"/>
        <item x="56"/>
        <item x="60"/>
        <item x="36"/>
        <item x="44"/>
        <item x="25"/>
        <item x="49"/>
        <item x="46"/>
        <item x="4"/>
        <item x="2"/>
        <item x="66"/>
        <item x="16"/>
        <item x="8"/>
        <item x="13"/>
        <item x="50"/>
        <item x="27"/>
        <item x="32"/>
        <item x="7"/>
        <item x="68"/>
        <item x="54"/>
        <item x="39"/>
        <item x="70"/>
        <item x="45"/>
        <item x="20"/>
        <item x="11"/>
        <item x="18"/>
        <item x="38"/>
        <item x="40"/>
        <item x="33"/>
        <item x="48"/>
        <item x="69"/>
        <item x="58"/>
        <item x="31"/>
        <item x="21"/>
        <item x="59"/>
        <item x="41"/>
        <item x="63"/>
        <item x="65"/>
        <item x="19"/>
        <item x="42"/>
        <item x="1"/>
        <item x="71"/>
        <item x="55"/>
        <item x="14"/>
        <item x="10"/>
        <item x="12"/>
        <item x="52"/>
        <item x="61"/>
        <item x="6"/>
        <item x="34"/>
        <item x="26"/>
        <item x="24"/>
        <item x="23"/>
        <item x="76"/>
        <item x="3"/>
        <item x="62"/>
        <item x="72"/>
        <item x="17"/>
        <item x="5"/>
        <item x="67"/>
        <item x="22"/>
        <item x="57"/>
        <item x="43"/>
        <item x="53"/>
        <item x="64"/>
        <item x="75"/>
        <item x="15"/>
        <item x="0"/>
        <item x="37"/>
        <item x="28"/>
        <item x="73"/>
        <item x="74"/>
        <item x="9"/>
        <item x="30"/>
        <item x="35"/>
        <item t="default"/>
      </items>
    </pivotField>
    <pivotField showAll="0">
      <items count="5">
        <item x="1"/>
        <item x="2"/>
        <item x="0"/>
        <item x="3"/>
        <item t="default"/>
      </items>
    </pivotField>
    <pivotField axis="axisRow" showAll="0" sortType="descending">
      <items count="8">
        <item x="4"/>
        <item x="0"/>
        <item x="3"/>
        <item x="2"/>
        <item x="6"/>
        <item x="5"/>
        <item x="1"/>
        <item t="default"/>
      </items>
      <autoSortScope>
        <pivotArea dataOnly="0" outline="0" fieldPosition="0">
          <references count="1">
            <reference field="4294967294" count="1" selected="0">
              <x v="0"/>
            </reference>
          </references>
        </pivotArea>
      </autoSortScope>
    </pivotField>
    <pivotField showAll="0"/>
    <pivotField showAll="0"/>
    <pivotField dataField="1" numFmtId="44" showAll="0"/>
    <pivotField showAll="0">
      <items count="11">
        <item x="8"/>
        <item x="3"/>
        <item x="4"/>
        <item x="2"/>
        <item x="6"/>
        <item x="1"/>
        <item x="7"/>
        <item x="5"/>
        <item x="0"/>
        <item x="9"/>
        <item t="default"/>
      </items>
    </pivotField>
    <pivotField showAll="0">
      <items count="15">
        <item x="13"/>
        <item x="5"/>
        <item x="0"/>
        <item x="4"/>
        <item x="8"/>
        <item x="10"/>
        <item x="3"/>
        <item x="7"/>
        <item x="11"/>
        <item x="1"/>
        <item x="6"/>
        <item x="9"/>
        <item x="12"/>
        <item x="2"/>
        <item t="default"/>
      </items>
    </pivotField>
    <pivotField numFmtId="44" showAll="0">
      <items count="66">
        <item x="7"/>
        <item x="12"/>
        <item x="14"/>
        <item x="31"/>
        <item x="44"/>
        <item x="20"/>
        <item x="57"/>
        <item x="34"/>
        <item x="11"/>
        <item x="17"/>
        <item x="42"/>
        <item x="9"/>
        <item x="33"/>
        <item x="15"/>
        <item x="60"/>
        <item x="36"/>
        <item x="30"/>
        <item x="43"/>
        <item x="49"/>
        <item x="18"/>
        <item x="4"/>
        <item x="23"/>
        <item x="6"/>
        <item x="24"/>
        <item x="3"/>
        <item x="21"/>
        <item x="59"/>
        <item x="50"/>
        <item x="38"/>
        <item x="29"/>
        <item x="35"/>
        <item x="48"/>
        <item x="37"/>
        <item x="47"/>
        <item x="40"/>
        <item x="16"/>
        <item x="28"/>
        <item x="0"/>
        <item x="1"/>
        <item x="56"/>
        <item x="53"/>
        <item x="8"/>
        <item x="2"/>
        <item x="58"/>
        <item x="39"/>
        <item x="61"/>
        <item x="26"/>
        <item x="41"/>
        <item x="63"/>
        <item x="10"/>
        <item x="32"/>
        <item x="54"/>
        <item x="62"/>
        <item x="5"/>
        <item x="52"/>
        <item x="51"/>
        <item x="45"/>
        <item x="22"/>
        <item x="27"/>
        <item x="19"/>
        <item x="25"/>
        <item x="55"/>
        <item x="13"/>
        <item x="46"/>
        <item x="64"/>
        <item t="default"/>
      </items>
    </pivotField>
    <pivotField showAll="0">
      <items count="7">
        <item sd="0" x="0"/>
        <item sd="0" x="1"/>
        <item sd="0" x="2"/>
        <item sd="0" x="3"/>
        <item sd="0" x="4"/>
        <item sd="0" x="5"/>
        <item t="default"/>
      </items>
    </pivotField>
  </pivotFields>
  <rowFields count="1">
    <field x="2"/>
  </rowFields>
  <rowItems count="8">
    <i>
      <x v="6"/>
    </i>
    <i>
      <x v="1"/>
    </i>
    <i>
      <x v="5"/>
    </i>
    <i>
      <x/>
    </i>
    <i>
      <x v="3"/>
    </i>
    <i>
      <x v="4"/>
    </i>
    <i>
      <x v="2"/>
    </i>
    <i t="grand">
      <x/>
    </i>
  </rowItems>
  <colItems count="1">
    <i/>
  </colItems>
  <dataFields count="1">
    <dataField name="P Unit Price" fld="5" baseField="2" baseItem="6" numFmtId="167"/>
  </dataFields>
  <formats count="2">
    <format dxfId="25">
      <pivotArea dataOnly="0" labelOnly="1" outline="0" axis="axisValues" fieldPosition="0"/>
    </format>
    <format dxfId="2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F57850-9F3F-4EE5-8EF4-B12A4123EA7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ustomer">
  <location ref="J3:L18" firstHeaderRow="0" firstDataRow="1" firstDataCol="1"/>
  <pivotFields count="10">
    <pivotField numFmtId="15" showAll="0">
      <items count="78">
        <item x="47"/>
        <item x="51"/>
        <item x="29"/>
        <item x="56"/>
        <item x="60"/>
        <item x="36"/>
        <item x="44"/>
        <item x="25"/>
        <item x="49"/>
        <item x="46"/>
        <item x="4"/>
        <item x="2"/>
        <item x="66"/>
        <item x="16"/>
        <item x="8"/>
        <item x="13"/>
        <item x="50"/>
        <item x="27"/>
        <item x="32"/>
        <item x="7"/>
        <item x="68"/>
        <item x="54"/>
        <item x="39"/>
        <item x="70"/>
        <item x="45"/>
        <item x="20"/>
        <item x="11"/>
        <item x="18"/>
        <item x="38"/>
        <item x="40"/>
        <item x="33"/>
        <item x="48"/>
        <item x="69"/>
        <item x="58"/>
        <item x="31"/>
        <item x="21"/>
        <item x="59"/>
        <item x="41"/>
        <item x="63"/>
        <item x="65"/>
        <item x="19"/>
        <item x="42"/>
        <item x="1"/>
        <item x="71"/>
        <item x="55"/>
        <item x="14"/>
        <item x="10"/>
        <item x="12"/>
        <item x="52"/>
        <item x="61"/>
        <item x="6"/>
        <item x="34"/>
        <item x="26"/>
        <item x="24"/>
        <item x="23"/>
        <item x="76"/>
        <item x="3"/>
        <item x="62"/>
        <item x="72"/>
        <item x="17"/>
        <item x="5"/>
        <item x="67"/>
        <item x="22"/>
        <item x="57"/>
        <item x="43"/>
        <item x="53"/>
        <item x="64"/>
        <item x="75"/>
        <item x="15"/>
        <item x="0"/>
        <item x="37"/>
        <item x="28"/>
        <item x="73"/>
        <item x="74"/>
        <item x="9"/>
        <item x="30"/>
        <item x="35"/>
        <item t="default"/>
      </items>
    </pivotField>
    <pivotField showAll="0"/>
    <pivotField showAll="0">
      <items count="8">
        <item x="4"/>
        <item x="0"/>
        <item x="3"/>
        <item x="2"/>
        <item x="6"/>
        <item x="5"/>
        <item x="1"/>
        <item t="default"/>
      </items>
    </pivotField>
    <pivotField showAll="0"/>
    <pivotField dataField="1" showAll="0">
      <items count="21">
        <item x="10"/>
        <item x="7"/>
        <item x="6"/>
        <item x="8"/>
        <item x="4"/>
        <item x="1"/>
        <item x="17"/>
        <item x="0"/>
        <item x="16"/>
        <item x="12"/>
        <item x="11"/>
        <item x="13"/>
        <item x="18"/>
        <item x="2"/>
        <item x="15"/>
        <item x="19"/>
        <item x="14"/>
        <item x="3"/>
        <item x="5"/>
        <item x="9"/>
        <item t="default"/>
      </items>
    </pivotField>
    <pivotField numFmtId="44" showAll="0"/>
    <pivotField showAll="0"/>
    <pivotField axis="axisRow" showAll="0" sortType="descending">
      <items count="15">
        <item x="13"/>
        <item x="5"/>
        <item x="0"/>
        <item x="4"/>
        <item x="8"/>
        <item x="10"/>
        <item x="3"/>
        <item x="7"/>
        <item x="11"/>
        <item x="1"/>
        <item x="6"/>
        <item x="9"/>
        <item x="12"/>
        <item x="2"/>
        <item t="default"/>
      </items>
      <autoSortScope>
        <pivotArea dataOnly="0" outline="0" fieldPosition="0">
          <references count="1">
            <reference field="4294967294" count="1" selected="0">
              <x v="1"/>
            </reference>
          </references>
        </pivotArea>
      </autoSortScope>
    </pivotField>
    <pivotField dataField="1" numFmtId="44" showAll="0">
      <items count="66">
        <item x="7"/>
        <item x="12"/>
        <item x="14"/>
        <item x="31"/>
        <item x="44"/>
        <item x="20"/>
        <item x="57"/>
        <item x="34"/>
        <item x="11"/>
        <item x="17"/>
        <item x="42"/>
        <item x="9"/>
        <item x="33"/>
        <item x="15"/>
        <item x="60"/>
        <item x="36"/>
        <item x="30"/>
        <item x="43"/>
        <item x="49"/>
        <item x="18"/>
        <item x="4"/>
        <item x="23"/>
        <item x="6"/>
        <item x="24"/>
        <item x="3"/>
        <item x="21"/>
        <item x="59"/>
        <item x="50"/>
        <item x="38"/>
        <item x="29"/>
        <item x="35"/>
        <item x="48"/>
        <item x="37"/>
        <item x="47"/>
        <item x="40"/>
        <item x="16"/>
        <item x="28"/>
        <item x="0"/>
        <item x="1"/>
        <item x="56"/>
        <item x="53"/>
        <item x="8"/>
        <item x="2"/>
        <item x="58"/>
        <item x="39"/>
        <item x="61"/>
        <item x="26"/>
        <item x="41"/>
        <item x="63"/>
        <item x="10"/>
        <item x="32"/>
        <item x="54"/>
        <item x="62"/>
        <item x="5"/>
        <item x="52"/>
        <item x="51"/>
        <item x="45"/>
        <item x="22"/>
        <item x="27"/>
        <item x="19"/>
        <item x="25"/>
        <item x="55"/>
        <item x="13"/>
        <item x="46"/>
        <item x="64"/>
        <item t="default"/>
      </items>
    </pivotField>
    <pivotField showAll="0">
      <items count="7">
        <item x="0"/>
        <item x="1"/>
        <item x="2"/>
        <item x="3"/>
        <item x="4"/>
        <item x="5"/>
        <item t="default"/>
      </items>
    </pivotField>
  </pivotFields>
  <rowFields count="1">
    <field x="7"/>
  </rowFields>
  <rowItems count="15">
    <i>
      <x v="5"/>
    </i>
    <i>
      <x v="9"/>
    </i>
    <i>
      <x v="10"/>
    </i>
    <i>
      <x v="4"/>
    </i>
    <i>
      <x v="3"/>
    </i>
    <i>
      <x v="2"/>
    </i>
    <i>
      <x v="6"/>
    </i>
    <i>
      <x v="8"/>
    </i>
    <i>
      <x v="11"/>
    </i>
    <i>
      <x v="1"/>
    </i>
    <i>
      <x v="13"/>
    </i>
    <i>
      <x v="7"/>
    </i>
    <i>
      <x v="12"/>
    </i>
    <i>
      <x/>
    </i>
    <i t="grand">
      <x/>
    </i>
  </rowItems>
  <colFields count="1">
    <field x="-2"/>
  </colFields>
  <colItems count="2">
    <i>
      <x/>
    </i>
    <i i="1">
      <x v="1"/>
    </i>
  </colItems>
  <dataFields count="2">
    <dataField name="P Units Sold" fld="4" baseField="7" baseItem="0"/>
    <dataField name="C Revenue" fld="8" baseField="7" baseItem="9" numFmtId="168"/>
  </dataFields>
  <formats count="2">
    <format dxfId="27">
      <pivotArea dataOnly="0" labelOnly="1" outline="0" axis="axisValues" fieldPosition="0"/>
    </format>
    <format dxfId="26">
      <pivotArea outline="0" fieldPosition="0">
        <references count="1">
          <reference field="4294967294" count="1">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E2B38E1-4C1F-4C14-9D53-69745EA9304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Product">
  <location ref="A17:B25" firstHeaderRow="1" firstDataRow="1" firstDataCol="1"/>
  <pivotFields count="10">
    <pivotField numFmtId="15" showAll="0">
      <items count="78">
        <item x="47"/>
        <item x="51"/>
        <item x="29"/>
        <item x="56"/>
        <item x="60"/>
        <item x="36"/>
        <item x="44"/>
        <item x="25"/>
        <item x="49"/>
        <item x="46"/>
        <item x="4"/>
        <item x="2"/>
        <item x="66"/>
        <item x="16"/>
        <item x="8"/>
        <item x="13"/>
        <item x="50"/>
        <item x="27"/>
        <item x="32"/>
        <item x="7"/>
        <item x="68"/>
        <item x="54"/>
        <item x="39"/>
        <item x="70"/>
        <item x="45"/>
        <item x="20"/>
        <item x="11"/>
        <item x="18"/>
        <item x="38"/>
        <item x="40"/>
        <item x="33"/>
        <item x="48"/>
        <item x="69"/>
        <item x="58"/>
        <item x="31"/>
        <item x="21"/>
        <item x="59"/>
        <item x="41"/>
        <item x="63"/>
        <item x="65"/>
        <item x="19"/>
        <item x="42"/>
        <item x="1"/>
        <item x="71"/>
        <item x="55"/>
        <item x="14"/>
        <item x="10"/>
        <item x="12"/>
        <item x="52"/>
        <item x="61"/>
        <item x="6"/>
        <item x="34"/>
        <item x="26"/>
        <item x="24"/>
        <item x="23"/>
        <item x="76"/>
        <item x="3"/>
        <item x="62"/>
        <item x="72"/>
        <item x="17"/>
        <item x="5"/>
        <item x="67"/>
        <item x="22"/>
        <item x="57"/>
        <item x="43"/>
        <item x="53"/>
        <item x="64"/>
        <item x="75"/>
        <item x="15"/>
        <item x="0"/>
        <item x="37"/>
        <item x="28"/>
        <item x="73"/>
        <item x="74"/>
        <item x="9"/>
        <item x="30"/>
        <item x="35"/>
        <item t="default"/>
      </items>
    </pivotField>
    <pivotField showAll="0"/>
    <pivotField axis="axisRow" showAll="0" sortType="descending">
      <items count="8">
        <item x="4"/>
        <item x="0"/>
        <item x="3"/>
        <item x="2"/>
        <item x="6"/>
        <item x="5"/>
        <item x="1"/>
        <item t="default"/>
      </items>
      <autoSortScope>
        <pivotArea dataOnly="0" outline="0" fieldPosition="0">
          <references count="1">
            <reference field="4294967294" count="1" selected="0">
              <x v="0"/>
            </reference>
          </references>
        </pivotArea>
      </autoSortScope>
    </pivotField>
    <pivotField showAll="0"/>
    <pivotField dataField="1" showAll="0"/>
    <pivotField numFmtId="44" showAll="0"/>
    <pivotField showAll="0"/>
    <pivotField showAll="0"/>
    <pivotField numFmtId="44" showAll="0">
      <items count="66">
        <item x="7"/>
        <item x="12"/>
        <item x="14"/>
        <item x="31"/>
        <item x="44"/>
        <item x="20"/>
        <item x="57"/>
        <item x="34"/>
        <item x="11"/>
        <item x="17"/>
        <item x="42"/>
        <item x="9"/>
        <item x="33"/>
        <item x="15"/>
        <item x="60"/>
        <item x="36"/>
        <item x="30"/>
        <item x="43"/>
        <item x="49"/>
        <item x="18"/>
        <item x="4"/>
        <item x="23"/>
        <item x="6"/>
        <item x="24"/>
        <item x="3"/>
        <item x="21"/>
        <item x="59"/>
        <item x="50"/>
        <item x="38"/>
        <item x="29"/>
        <item x="35"/>
        <item x="48"/>
        <item x="37"/>
        <item x="47"/>
        <item x="40"/>
        <item x="16"/>
        <item x="28"/>
        <item x="0"/>
        <item x="1"/>
        <item x="56"/>
        <item x="53"/>
        <item x="8"/>
        <item x="2"/>
        <item x="58"/>
        <item x="39"/>
        <item x="61"/>
        <item x="26"/>
        <item x="41"/>
        <item x="63"/>
        <item x="10"/>
        <item x="32"/>
        <item x="54"/>
        <item x="62"/>
        <item x="5"/>
        <item x="52"/>
        <item x="51"/>
        <item x="45"/>
        <item x="22"/>
        <item x="27"/>
        <item x="19"/>
        <item x="25"/>
        <item x="55"/>
        <item x="13"/>
        <item x="46"/>
        <item x="64"/>
        <item t="default"/>
      </items>
    </pivotField>
    <pivotField showAll="0">
      <items count="7">
        <item x="0"/>
        <item x="1"/>
        <item x="2"/>
        <item x="3"/>
        <item x="4"/>
        <item x="5"/>
        <item t="default"/>
      </items>
    </pivotField>
  </pivotFields>
  <rowFields count="1">
    <field x="2"/>
  </rowFields>
  <rowItems count="8">
    <i>
      <x v="5"/>
    </i>
    <i>
      <x v="6"/>
    </i>
    <i>
      <x v="1"/>
    </i>
    <i>
      <x v="2"/>
    </i>
    <i>
      <x/>
    </i>
    <i>
      <x v="4"/>
    </i>
    <i>
      <x v="3"/>
    </i>
    <i t="grand">
      <x/>
    </i>
  </rowItems>
  <colItems count="1">
    <i/>
  </colItems>
  <dataFields count="1">
    <dataField name="P Units Sold" fld="4" subtotal="count" baseField="2" baseItem="5"/>
  </dataFields>
  <formats count="1">
    <format dxfId="2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050A10-A3F6-4660-A5D5-B0A862F2F42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Product">
  <location ref="C46:D54" firstHeaderRow="1" firstDataRow="1" firstDataCol="1"/>
  <pivotFields count="10">
    <pivotField numFmtId="15" showAll="0">
      <items count="78">
        <item x="47"/>
        <item x="51"/>
        <item x="29"/>
        <item x="56"/>
        <item x="60"/>
        <item x="36"/>
        <item x="44"/>
        <item x="25"/>
        <item x="49"/>
        <item x="46"/>
        <item x="4"/>
        <item x="2"/>
        <item x="66"/>
        <item x="16"/>
        <item x="8"/>
        <item x="13"/>
        <item x="50"/>
        <item x="27"/>
        <item x="32"/>
        <item x="7"/>
        <item x="68"/>
        <item x="54"/>
        <item x="39"/>
        <item x="70"/>
        <item x="45"/>
        <item x="20"/>
        <item x="11"/>
        <item x="18"/>
        <item x="38"/>
        <item x="40"/>
        <item x="33"/>
        <item x="48"/>
        <item x="69"/>
        <item x="58"/>
        <item x="31"/>
        <item x="21"/>
        <item x="59"/>
        <item x="41"/>
        <item x="63"/>
        <item x="65"/>
        <item x="19"/>
        <item x="42"/>
        <item x="1"/>
        <item x="71"/>
        <item x="55"/>
        <item x="14"/>
        <item x="10"/>
        <item x="12"/>
        <item x="52"/>
        <item x="61"/>
        <item x="6"/>
        <item x="34"/>
        <item x="26"/>
        <item x="24"/>
        <item x="23"/>
        <item x="76"/>
        <item x="3"/>
        <item x="62"/>
        <item x="72"/>
        <item x="17"/>
        <item x="5"/>
        <item x="67"/>
        <item x="22"/>
        <item x="57"/>
        <item x="43"/>
        <item x="53"/>
        <item x="64"/>
        <item x="75"/>
        <item x="15"/>
        <item x="0"/>
        <item x="37"/>
        <item x="28"/>
        <item x="73"/>
        <item x="74"/>
        <item x="9"/>
        <item x="30"/>
        <item x="35"/>
        <item t="default"/>
      </items>
    </pivotField>
    <pivotField showAll="0"/>
    <pivotField axis="axisRow" showAll="0" sortType="descending">
      <items count="8">
        <item x="4"/>
        <item x="0"/>
        <item x="3"/>
        <item x="2"/>
        <item x="6"/>
        <item x="5"/>
        <item x="1"/>
        <item t="default"/>
      </items>
      <autoSortScope>
        <pivotArea dataOnly="0" outline="0" fieldPosition="0">
          <references count="1">
            <reference field="4294967294" count="1" selected="0">
              <x v="0"/>
            </reference>
          </references>
        </pivotArea>
      </autoSortScope>
    </pivotField>
    <pivotField showAll="0"/>
    <pivotField showAll="0"/>
    <pivotField numFmtId="44" showAll="0"/>
    <pivotField showAll="0"/>
    <pivotField showAll="0"/>
    <pivotField dataField="1" numFmtId="44" showAll="0">
      <items count="66">
        <item x="7"/>
        <item x="12"/>
        <item x="14"/>
        <item x="31"/>
        <item x="44"/>
        <item x="20"/>
        <item x="57"/>
        <item x="34"/>
        <item x="11"/>
        <item x="17"/>
        <item x="42"/>
        <item x="9"/>
        <item x="33"/>
        <item x="15"/>
        <item x="60"/>
        <item x="36"/>
        <item x="30"/>
        <item x="43"/>
        <item x="49"/>
        <item x="18"/>
        <item x="4"/>
        <item x="23"/>
        <item x="6"/>
        <item x="24"/>
        <item x="3"/>
        <item x="21"/>
        <item x="59"/>
        <item x="50"/>
        <item x="38"/>
        <item x="29"/>
        <item x="35"/>
        <item x="48"/>
        <item x="37"/>
        <item x="47"/>
        <item x="40"/>
        <item x="16"/>
        <item x="28"/>
        <item x="0"/>
        <item x="1"/>
        <item x="56"/>
        <item x="53"/>
        <item x="8"/>
        <item x="2"/>
        <item x="58"/>
        <item x="39"/>
        <item x="61"/>
        <item x="26"/>
        <item x="41"/>
        <item x="63"/>
        <item x="10"/>
        <item x="32"/>
        <item x="54"/>
        <item x="62"/>
        <item x="5"/>
        <item x="52"/>
        <item x="51"/>
        <item x="45"/>
        <item x="22"/>
        <item x="27"/>
        <item x="19"/>
        <item x="25"/>
        <item x="55"/>
        <item x="13"/>
        <item x="46"/>
        <item x="64"/>
        <item t="default"/>
      </items>
    </pivotField>
    <pivotField showAll="0">
      <items count="7">
        <item x="0"/>
        <item x="1"/>
        <item x="2"/>
        <item x="3"/>
        <item x="4"/>
        <item x="5"/>
        <item t="default"/>
      </items>
    </pivotField>
  </pivotFields>
  <rowFields count="1">
    <field x="2"/>
  </rowFields>
  <rowItems count="8">
    <i>
      <x v="6"/>
    </i>
    <i>
      <x v="1"/>
    </i>
    <i>
      <x v="5"/>
    </i>
    <i>
      <x/>
    </i>
    <i>
      <x v="3"/>
    </i>
    <i>
      <x v="2"/>
    </i>
    <i>
      <x v="4"/>
    </i>
    <i t="grand">
      <x/>
    </i>
  </rowItems>
  <colItems count="1">
    <i/>
  </colItems>
  <dataFields count="1">
    <dataField name="P Revenue" fld="8" baseField="2" baseItem="6" numFmtId="165"/>
  </dataFields>
  <formats count="2">
    <format dxfId="1">
      <pivotArea dataOnly="0" labelOnly="1" outline="0" axis="axisValues" fieldPosition="0"/>
    </format>
    <format dxfId="0">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DCFBACD-068E-40C1-BF66-01E22437A2C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Month">
  <location ref="C28:D31" firstHeaderRow="1" firstDataRow="1" firstDataCol="1"/>
  <pivotFields count="10">
    <pivotField axis="axisRow" numFmtId="15" showAll="0">
      <items count="78">
        <item x="47"/>
        <item x="51"/>
        <item x="29"/>
        <item x="56"/>
        <item x="60"/>
        <item x="36"/>
        <item x="44"/>
        <item x="25"/>
        <item x="49"/>
        <item x="46"/>
        <item x="4"/>
        <item x="2"/>
        <item x="66"/>
        <item x="16"/>
        <item x="8"/>
        <item x="13"/>
        <item x="50"/>
        <item x="27"/>
        <item x="32"/>
        <item x="7"/>
        <item x="68"/>
        <item x="54"/>
        <item x="39"/>
        <item x="70"/>
        <item x="45"/>
        <item x="20"/>
        <item x="11"/>
        <item x="18"/>
        <item x="38"/>
        <item x="40"/>
        <item x="33"/>
        <item x="48"/>
        <item x="69"/>
        <item x="58"/>
        <item x="31"/>
        <item x="21"/>
        <item x="59"/>
        <item x="41"/>
        <item x="63"/>
        <item x="65"/>
        <item x="19"/>
        <item x="42"/>
        <item x="1"/>
        <item x="71"/>
        <item x="55"/>
        <item x="14"/>
        <item x="10"/>
        <item x="12"/>
        <item x="52"/>
        <item x="61"/>
        <item x="6"/>
        <item x="34"/>
        <item x="26"/>
        <item x="24"/>
        <item x="23"/>
        <item x="76"/>
        <item x="3"/>
        <item x="62"/>
        <item x="72"/>
        <item x="17"/>
        <item x="5"/>
        <item x="67"/>
        <item x="22"/>
        <item x="57"/>
        <item x="43"/>
        <item x="53"/>
        <item x="64"/>
        <item x="75"/>
        <item x="15"/>
        <item x="0"/>
        <item x="37"/>
        <item x="28"/>
        <item x="73"/>
        <item x="74"/>
        <item x="9"/>
        <item x="30"/>
        <item x="35"/>
        <item t="default"/>
      </items>
    </pivotField>
    <pivotField showAll="0">
      <items count="5">
        <item x="1"/>
        <item x="2"/>
        <item x="0"/>
        <item x="3"/>
        <item t="default"/>
      </items>
    </pivotField>
    <pivotField showAll="0">
      <items count="8">
        <item x="4"/>
        <item x="0"/>
        <item x="3"/>
        <item x="2"/>
        <item x="6"/>
        <item x="5"/>
        <item x="1"/>
        <item t="default"/>
      </items>
    </pivotField>
    <pivotField showAll="0"/>
    <pivotField showAll="0"/>
    <pivotField numFmtId="44" showAll="0"/>
    <pivotField showAll="0">
      <items count="11">
        <item x="8"/>
        <item x="3"/>
        <item x="4"/>
        <item x="2"/>
        <item x="6"/>
        <item x="1"/>
        <item x="7"/>
        <item x="5"/>
        <item x="0"/>
        <item x="9"/>
        <item t="default"/>
      </items>
    </pivotField>
    <pivotField showAll="0">
      <items count="15">
        <item x="13"/>
        <item x="5"/>
        <item x="0"/>
        <item x="4"/>
        <item x="8"/>
        <item x="10"/>
        <item x="3"/>
        <item x="7"/>
        <item x="11"/>
        <item x="1"/>
        <item x="6"/>
        <item x="9"/>
        <item x="12"/>
        <item x="2"/>
        <item t="default"/>
      </items>
    </pivotField>
    <pivotField dataField="1" numFmtId="44" showAll="0">
      <items count="66">
        <item x="7"/>
        <item x="12"/>
        <item x="14"/>
        <item x="31"/>
        <item x="44"/>
        <item x="20"/>
        <item x="57"/>
        <item x="34"/>
        <item x="11"/>
        <item x="17"/>
        <item x="42"/>
        <item x="9"/>
        <item x="33"/>
        <item x="15"/>
        <item x="60"/>
        <item x="36"/>
        <item x="30"/>
        <item x="43"/>
        <item x="49"/>
        <item x="18"/>
        <item x="4"/>
        <item x="23"/>
        <item x="6"/>
        <item x="24"/>
        <item x="3"/>
        <item x="21"/>
        <item x="59"/>
        <item x="50"/>
        <item x="38"/>
        <item x="29"/>
        <item x="35"/>
        <item x="48"/>
        <item x="37"/>
        <item x="47"/>
        <item x="40"/>
        <item x="16"/>
        <item x="28"/>
        <item x="0"/>
        <item x="1"/>
        <item x="56"/>
        <item x="53"/>
        <item x="8"/>
        <item x="2"/>
        <item x="58"/>
        <item x="39"/>
        <item x="61"/>
        <item x="26"/>
        <item x="41"/>
        <item x="63"/>
        <item x="10"/>
        <item x="32"/>
        <item x="54"/>
        <item x="62"/>
        <item x="5"/>
        <item x="52"/>
        <item x="51"/>
        <item x="45"/>
        <item x="22"/>
        <item x="27"/>
        <item x="19"/>
        <item x="25"/>
        <item x="55"/>
        <item x="13"/>
        <item x="46"/>
        <item x="64"/>
        <item t="default"/>
      </items>
    </pivotField>
    <pivotField axis="axisRow" showAll="0">
      <items count="7">
        <item sd="0" x="0"/>
        <item sd="0" x="1"/>
        <item sd="0" x="2"/>
        <item sd="0" x="3"/>
        <item sd="0" x="4"/>
        <item sd="0" x="5"/>
        <item t="default"/>
      </items>
    </pivotField>
  </pivotFields>
  <rowFields count="2">
    <field x="9"/>
    <field x="0"/>
  </rowFields>
  <rowItems count="3">
    <i>
      <x v="1"/>
    </i>
    <i>
      <x v="2"/>
    </i>
    <i t="grand">
      <x/>
    </i>
  </rowItems>
  <colItems count="1">
    <i/>
  </colItems>
  <dataFields count="1">
    <dataField name="Q Revenue" fld="8" baseField="9" baseItem="1" numFmtId="164"/>
  </dataFields>
  <formats count="2">
    <format dxfId="3">
      <pivotArea dataOnly="0" labelOnly="1" outline="0" axis="axisValues" fieldPosition="0"/>
    </format>
    <format dxfId="2">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BED95A6-33DE-44DB-8A2E-8F8D3B35636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Region">
  <location ref="C99:D104" firstHeaderRow="1" firstDataRow="1" firstDataCol="1"/>
  <pivotFields count="10">
    <pivotField numFmtId="15" showAll="0">
      <items count="78">
        <item x="47"/>
        <item x="51"/>
        <item x="29"/>
        <item x="56"/>
        <item x="60"/>
        <item x="36"/>
        <item x="44"/>
        <item x="25"/>
        <item x="49"/>
        <item x="46"/>
        <item x="4"/>
        <item x="2"/>
        <item x="66"/>
        <item x="16"/>
        <item x="8"/>
        <item x="13"/>
        <item x="50"/>
        <item x="27"/>
        <item x="32"/>
        <item x="7"/>
        <item x="68"/>
        <item x="54"/>
        <item x="39"/>
        <item x="70"/>
        <item x="45"/>
        <item x="20"/>
        <item x="11"/>
        <item x="18"/>
        <item x="38"/>
        <item x="40"/>
        <item x="33"/>
        <item x="48"/>
        <item x="69"/>
        <item x="58"/>
        <item x="31"/>
        <item x="21"/>
        <item x="59"/>
        <item x="41"/>
        <item x="63"/>
        <item x="65"/>
        <item x="19"/>
        <item x="42"/>
        <item x="1"/>
        <item x="71"/>
        <item x="55"/>
        <item x="14"/>
        <item x="10"/>
        <item x="12"/>
        <item x="52"/>
        <item x="61"/>
        <item x="6"/>
        <item x="34"/>
        <item x="26"/>
        <item x="24"/>
        <item x="23"/>
        <item x="76"/>
        <item x="3"/>
        <item x="62"/>
        <item x="72"/>
        <item x="17"/>
        <item x="5"/>
        <item x="67"/>
        <item x="22"/>
        <item x="57"/>
        <item x="43"/>
        <item x="53"/>
        <item x="64"/>
        <item x="75"/>
        <item x="15"/>
        <item x="0"/>
        <item x="37"/>
        <item x="28"/>
        <item x="73"/>
        <item x="74"/>
        <item x="9"/>
        <item x="30"/>
        <item x="35"/>
        <item t="default"/>
      </items>
    </pivotField>
    <pivotField axis="axisRow" showAll="0" sortType="descending">
      <items count="5">
        <item x="1"/>
        <item x="2"/>
        <item x="0"/>
        <item x="3"/>
        <item t="default"/>
      </items>
      <autoSortScope>
        <pivotArea dataOnly="0" outline="0" fieldPosition="0">
          <references count="1">
            <reference field="4294967294" count="1" selected="0">
              <x v="0"/>
            </reference>
          </references>
        </pivotArea>
      </autoSortScope>
    </pivotField>
    <pivotField showAll="0">
      <items count="8">
        <item x="4"/>
        <item x="0"/>
        <item x="3"/>
        <item x="2"/>
        <item x="6"/>
        <item x="5"/>
        <item x="1"/>
        <item t="default"/>
      </items>
    </pivotField>
    <pivotField showAll="0"/>
    <pivotField showAll="0"/>
    <pivotField numFmtId="44" showAll="0"/>
    <pivotField showAll="0"/>
    <pivotField showAll="0"/>
    <pivotField dataField="1" numFmtId="44" showAll="0">
      <items count="66">
        <item x="7"/>
        <item x="12"/>
        <item x="14"/>
        <item x="31"/>
        <item x="44"/>
        <item x="20"/>
        <item x="57"/>
        <item x="34"/>
        <item x="11"/>
        <item x="17"/>
        <item x="42"/>
        <item x="9"/>
        <item x="33"/>
        <item x="15"/>
        <item x="60"/>
        <item x="36"/>
        <item x="30"/>
        <item x="43"/>
        <item x="49"/>
        <item x="18"/>
        <item x="4"/>
        <item x="23"/>
        <item x="6"/>
        <item x="24"/>
        <item x="3"/>
        <item x="21"/>
        <item x="59"/>
        <item x="50"/>
        <item x="38"/>
        <item x="29"/>
        <item x="35"/>
        <item x="48"/>
        <item x="37"/>
        <item x="47"/>
        <item x="40"/>
        <item x="16"/>
        <item x="28"/>
        <item x="0"/>
        <item x="1"/>
        <item x="56"/>
        <item x="53"/>
        <item x="8"/>
        <item x="2"/>
        <item x="58"/>
        <item x="39"/>
        <item x="61"/>
        <item x="26"/>
        <item x="41"/>
        <item x="63"/>
        <item x="10"/>
        <item x="32"/>
        <item x="54"/>
        <item x="62"/>
        <item x="5"/>
        <item x="52"/>
        <item x="51"/>
        <item x="45"/>
        <item x="22"/>
        <item x="27"/>
        <item x="19"/>
        <item x="25"/>
        <item x="55"/>
        <item x="13"/>
        <item x="46"/>
        <item x="64"/>
        <item t="default"/>
      </items>
    </pivotField>
    <pivotField showAll="0">
      <items count="7">
        <item x="0"/>
        <item x="1"/>
        <item x="2"/>
        <item x="3"/>
        <item x="4"/>
        <item x="5"/>
        <item t="default"/>
      </items>
    </pivotField>
  </pivotFields>
  <rowFields count="1">
    <field x="1"/>
  </rowFields>
  <rowItems count="5">
    <i>
      <x/>
    </i>
    <i>
      <x v="2"/>
    </i>
    <i>
      <x v="3"/>
    </i>
    <i>
      <x v="1"/>
    </i>
    <i t="grand">
      <x/>
    </i>
  </rowItems>
  <colItems count="1">
    <i/>
  </colItems>
  <dataFields count="1">
    <dataField name="R Revenue" fld="8" baseField="1" baseItem="0" numFmtId="166"/>
  </dataFields>
  <formats count="2">
    <format dxfId="5">
      <pivotArea dataOnly="0" labelOnly="1" outline="0" axis="axisValues" fieldPosition="0"/>
    </format>
    <format dxfId="4">
      <pivotArea outline="0" fieldPosition="0">
        <references count="1">
          <reference field="4294967294" count="1">
            <x v="0"/>
          </reference>
        </references>
      </pivotArea>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DD220EC-7A9F-4D1A-98CE-84AE2DA2CFB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Sales Rep">
  <location ref="C84:D88" firstHeaderRow="1" firstDataRow="1" firstDataCol="1"/>
  <pivotFields count="10">
    <pivotField numFmtId="15" showAll="0">
      <items count="78">
        <item x="47"/>
        <item x="51"/>
        <item x="29"/>
        <item x="56"/>
        <item x="60"/>
        <item x="36"/>
        <item x="44"/>
        <item x="25"/>
        <item x="49"/>
        <item x="46"/>
        <item x="4"/>
        <item x="2"/>
        <item x="66"/>
        <item x="16"/>
        <item x="8"/>
        <item x="13"/>
        <item x="50"/>
        <item x="27"/>
        <item x="32"/>
        <item x="7"/>
        <item x="68"/>
        <item x="54"/>
        <item x="39"/>
        <item x="70"/>
        <item x="45"/>
        <item x="20"/>
        <item x="11"/>
        <item x="18"/>
        <item x="38"/>
        <item x="40"/>
        <item x="33"/>
        <item x="48"/>
        <item x="69"/>
        <item x="58"/>
        <item x="31"/>
        <item x="21"/>
        <item x="59"/>
        <item x="41"/>
        <item x="63"/>
        <item x="65"/>
        <item x="19"/>
        <item x="42"/>
        <item x="1"/>
        <item x="71"/>
        <item x="55"/>
        <item x="14"/>
        <item x="10"/>
        <item x="12"/>
        <item x="52"/>
        <item x="61"/>
        <item x="6"/>
        <item x="34"/>
        <item x="26"/>
        <item x="24"/>
        <item x="23"/>
        <item x="76"/>
        <item x="3"/>
        <item x="62"/>
        <item x="72"/>
        <item x="17"/>
        <item x="5"/>
        <item x="67"/>
        <item x="22"/>
        <item x="57"/>
        <item x="43"/>
        <item x="53"/>
        <item x="64"/>
        <item x="75"/>
        <item x="15"/>
        <item x="0"/>
        <item x="37"/>
        <item x="28"/>
        <item x="73"/>
        <item x="74"/>
        <item x="9"/>
        <item x="30"/>
        <item x="35"/>
        <item t="default"/>
      </items>
    </pivotField>
    <pivotField showAll="0">
      <items count="5">
        <item x="1"/>
        <item x="2"/>
        <item x="0"/>
        <item x="3"/>
        <item t="default"/>
      </items>
    </pivotField>
    <pivotField showAll="0">
      <items count="8">
        <item x="4"/>
        <item x="0"/>
        <item x="3"/>
        <item x="2"/>
        <item x="6"/>
        <item x="5"/>
        <item x="1"/>
        <item t="default"/>
      </items>
    </pivotField>
    <pivotField showAll="0">
      <items count="7">
        <item x="5"/>
        <item x="0"/>
        <item x="1"/>
        <item x="2"/>
        <item x="3"/>
        <item x="4"/>
        <item t="default"/>
      </items>
    </pivotField>
    <pivotField showAll="0">
      <items count="21">
        <item x="10"/>
        <item x="7"/>
        <item x="6"/>
        <item x="8"/>
        <item x="4"/>
        <item x="1"/>
        <item x="17"/>
        <item x="0"/>
        <item x="16"/>
        <item x="12"/>
        <item x="11"/>
        <item x="13"/>
        <item x="18"/>
        <item x="2"/>
        <item x="15"/>
        <item x="19"/>
        <item x="14"/>
        <item x="3"/>
        <item x="5"/>
        <item x="9"/>
        <item t="default"/>
      </items>
    </pivotField>
    <pivotField numFmtId="44" showAll="0">
      <items count="8">
        <item x="3"/>
        <item x="6"/>
        <item x="5"/>
        <item x="4"/>
        <item x="2"/>
        <item x="0"/>
        <item x="1"/>
        <item t="default"/>
      </items>
    </pivotField>
    <pivotField axis="axisRow" showAll="0" measureFilter="1">
      <items count="11">
        <item x="8"/>
        <item x="3"/>
        <item x="4"/>
        <item x="2"/>
        <item x="6"/>
        <item x="1"/>
        <item x="7"/>
        <item x="5"/>
        <item x="0"/>
        <item x="9"/>
        <item t="default"/>
      </items>
    </pivotField>
    <pivotField showAll="0">
      <items count="15">
        <item x="13"/>
        <item x="5"/>
        <item x="0"/>
        <item x="4"/>
        <item x="8"/>
        <item x="10"/>
        <item x="3"/>
        <item x="7"/>
        <item x="11"/>
        <item x="1"/>
        <item x="6"/>
        <item x="9"/>
        <item x="12"/>
        <item x="2"/>
        <item t="default"/>
      </items>
    </pivotField>
    <pivotField dataField="1" numFmtId="44" showAll="0">
      <items count="66">
        <item x="7"/>
        <item x="12"/>
        <item x="14"/>
        <item x="31"/>
        <item x="44"/>
        <item x="20"/>
        <item x="57"/>
        <item x="34"/>
        <item x="11"/>
        <item x="17"/>
        <item x="42"/>
        <item x="9"/>
        <item x="33"/>
        <item x="15"/>
        <item x="60"/>
        <item x="36"/>
        <item x="30"/>
        <item x="43"/>
        <item x="49"/>
        <item x="18"/>
        <item x="4"/>
        <item x="23"/>
        <item x="6"/>
        <item x="24"/>
        <item x="3"/>
        <item x="21"/>
        <item x="59"/>
        <item x="50"/>
        <item x="38"/>
        <item x="29"/>
        <item x="35"/>
        <item x="48"/>
        <item x="37"/>
        <item x="47"/>
        <item x="40"/>
        <item x="16"/>
        <item x="28"/>
        <item x="0"/>
        <item x="1"/>
        <item x="56"/>
        <item x="53"/>
        <item x="8"/>
        <item x="2"/>
        <item x="58"/>
        <item x="39"/>
        <item x="61"/>
        <item x="26"/>
        <item x="41"/>
        <item x="63"/>
        <item x="10"/>
        <item x="32"/>
        <item x="54"/>
        <item x="62"/>
        <item x="5"/>
        <item x="52"/>
        <item x="51"/>
        <item x="45"/>
        <item x="22"/>
        <item x="27"/>
        <item x="19"/>
        <item x="25"/>
        <item x="55"/>
        <item x="13"/>
        <item x="46"/>
        <item x="64"/>
        <item t="default"/>
      </items>
    </pivotField>
    <pivotField showAll="0">
      <items count="7">
        <item h="1" x="0"/>
        <item h="1" x="1"/>
        <item h="1" x="2"/>
        <item h="1" x="3"/>
        <item h="1" x="4"/>
        <item x="5"/>
        <item t="default"/>
      </items>
    </pivotField>
  </pivotFields>
  <rowFields count="1">
    <field x="6"/>
  </rowFields>
  <rowItems count="4">
    <i>
      <x v="2"/>
    </i>
    <i>
      <x v="3"/>
    </i>
    <i>
      <x v="4"/>
    </i>
    <i t="grand">
      <x/>
    </i>
  </rowItems>
  <colItems count="1">
    <i/>
  </colItems>
  <dataFields count="1">
    <dataField name="SR Revenue" fld="8" baseField="6" baseItem="0" numFmtId="166"/>
  </dataFields>
  <formats count="2">
    <format dxfId="7">
      <pivotArea dataOnly="0" labelOnly="1" outline="0" axis="axisValues" fieldPosition="0"/>
    </format>
    <format dxfId="6">
      <pivotArea outline="0" fieldPosition="0">
        <references count="1">
          <reference field="4294967294"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6" count="1" selected="0">
            <x v="2"/>
          </reference>
        </references>
      </pivotArea>
    </chartFormat>
    <chartFormat chart="9" format="7">
      <pivotArea type="data" outline="0" fieldPosition="0">
        <references count="2">
          <reference field="4294967294" count="1" selected="0">
            <x v="0"/>
          </reference>
          <reference field="6" count="1" selected="0">
            <x v="3"/>
          </reference>
        </references>
      </pivotArea>
    </chartFormat>
    <chartFormat chart="9" format="8">
      <pivotArea type="data" outline="0" fieldPosition="0">
        <references count="2">
          <reference field="4294967294" count="1" selected="0">
            <x v="0"/>
          </reference>
          <reference field="6" count="1" selected="0">
            <x v="4"/>
          </reference>
        </references>
      </pivotArea>
    </chartFormat>
    <chartFormat chart="0" format="1">
      <pivotArea type="data" outline="0" fieldPosition="0">
        <references count="2">
          <reference field="4294967294" count="1" selected="0">
            <x v="0"/>
          </reference>
          <reference field="6" count="1" selected="0">
            <x v="2"/>
          </reference>
        </references>
      </pivotArea>
    </chartFormat>
    <chartFormat chart="0" format="2">
      <pivotArea type="data" outline="0" fieldPosition="0">
        <references count="2">
          <reference field="4294967294" count="1" selected="0">
            <x v="0"/>
          </reference>
          <reference field="6" count="1" selected="0">
            <x v="3"/>
          </reference>
        </references>
      </pivotArea>
    </chartFormat>
    <chartFormat chart="0" format="3">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E5D964A-2EA6-4647-AFFB-CB6E845529C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rowHeaderCaption="Customer">
  <location ref="C64:E79" firstHeaderRow="0" firstDataRow="1" firstDataCol="1"/>
  <pivotFields count="10">
    <pivotField numFmtId="15" showAll="0">
      <items count="78">
        <item x="47"/>
        <item x="51"/>
        <item x="29"/>
        <item x="56"/>
        <item x="60"/>
        <item x="36"/>
        <item x="44"/>
        <item x="25"/>
        <item x="49"/>
        <item x="46"/>
        <item x="4"/>
        <item x="2"/>
        <item x="66"/>
        <item x="16"/>
        <item x="8"/>
        <item x="13"/>
        <item x="50"/>
        <item x="27"/>
        <item x="32"/>
        <item x="7"/>
        <item x="68"/>
        <item x="54"/>
        <item x="39"/>
        <item x="70"/>
        <item x="45"/>
        <item x="20"/>
        <item x="11"/>
        <item x="18"/>
        <item x="38"/>
        <item x="40"/>
        <item x="33"/>
        <item x="48"/>
        <item x="69"/>
        <item x="58"/>
        <item x="31"/>
        <item x="21"/>
        <item x="59"/>
        <item x="41"/>
        <item x="63"/>
        <item x="65"/>
        <item x="19"/>
        <item x="42"/>
        <item x="1"/>
        <item x="71"/>
        <item x="55"/>
        <item x="14"/>
        <item x="10"/>
        <item x="12"/>
        <item x="52"/>
        <item x="61"/>
        <item x="6"/>
        <item x="34"/>
        <item x="26"/>
        <item x="24"/>
        <item x="23"/>
        <item x="76"/>
        <item x="3"/>
        <item x="62"/>
        <item x="72"/>
        <item x="17"/>
        <item x="5"/>
        <item x="67"/>
        <item x="22"/>
        <item x="57"/>
        <item x="43"/>
        <item x="53"/>
        <item x="64"/>
        <item x="75"/>
        <item x="15"/>
        <item x="0"/>
        <item x="37"/>
        <item x="28"/>
        <item x="73"/>
        <item x="74"/>
        <item x="9"/>
        <item x="30"/>
        <item x="35"/>
        <item t="default"/>
      </items>
    </pivotField>
    <pivotField showAll="0"/>
    <pivotField showAll="0">
      <items count="8">
        <item x="4"/>
        <item x="0"/>
        <item x="3"/>
        <item x="2"/>
        <item x="6"/>
        <item x="5"/>
        <item x="1"/>
        <item t="default"/>
      </items>
    </pivotField>
    <pivotField showAll="0"/>
    <pivotField dataField="1" showAll="0">
      <items count="21">
        <item x="10"/>
        <item x="7"/>
        <item x="6"/>
        <item x="8"/>
        <item x="4"/>
        <item x="1"/>
        <item x="17"/>
        <item x="0"/>
        <item x="16"/>
        <item x="12"/>
        <item x="11"/>
        <item x="13"/>
        <item x="18"/>
        <item x="2"/>
        <item x="15"/>
        <item x="19"/>
        <item x="14"/>
        <item x="3"/>
        <item x="5"/>
        <item x="9"/>
        <item t="default"/>
      </items>
    </pivotField>
    <pivotField numFmtId="44" showAll="0"/>
    <pivotField showAll="0"/>
    <pivotField axis="axisRow" showAll="0" sortType="descending">
      <items count="15">
        <item x="13"/>
        <item x="5"/>
        <item x="0"/>
        <item x="4"/>
        <item x="8"/>
        <item x="10"/>
        <item x="3"/>
        <item x="7"/>
        <item x="11"/>
        <item x="1"/>
        <item x="6"/>
        <item x="9"/>
        <item x="12"/>
        <item x="2"/>
        <item t="default"/>
      </items>
      <autoSortScope>
        <pivotArea dataOnly="0" outline="0" fieldPosition="0">
          <references count="1">
            <reference field="4294967294" count="1" selected="0">
              <x v="1"/>
            </reference>
          </references>
        </pivotArea>
      </autoSortScope>
    </pivotField>
    <pivotField dataField="1" numFmtId="44" showAll="0">
      <items count="66">
        <item x="7"/>
        <item x="12"/>
        <item x="14"/>
        <item x="31"/>
        <item x="44"/>
        <item x="20"/>
        <item x="57"/>
        <item x="34"/>
        <item x="11"/>
        <item x="17"/>
        <item x="42"/>
        <item x="9"/>
        <item x="33"/>
        <item x="15"/>
        <item x="60"/>
        <item x="36"/>
        <item x="30"/>
        <item x="43"/>
        <item x="49"/>
        <item x="18"/>
        <item x="4"/>
        <item x="23"/>
        <item x="6"/>
        <item x="24"/>
        <item x="3"/>
        <item x="21"/>
        <item x="59"/>
        <item x="50"/>
        <item x="38"/>
        <item x="29"/>
        <item x="35"/>
        <item x="48"/>
        <item x="37"/>
        <item x="47"/>
        <item x="40"/>
        <item x="16"/>
        <item x="28"/>
        <item x="0"/>
        <item x="1"/>
        <item x="56"/>
        <item x="53"/>
        <item x="8"/>
        <item x="2"/>
        <item x="58"/>
        <item x="39"/>
        <item x="61"/>
        <item x="26"/>
        <item x="41"/>
        <item x="63"/>
        <item x="10"/>
        <item x="32"/>
        <item x="54"/>
        <item x="62"/>
        <item x="5"/>
        <item x="52"/>
        <item x="51"/>
        <item x="45"/>
        <item x="22"/>
        <item x="27"/>
        <item x="19"/>
        <item x="25"/>
        <item x="55"/>
        <item x="13"/>
        <item x="46"/>
        <item x="64"/>
        <item t="default"/>
      </items>
    </pivotField>
    <pivotField showAll="0">
      <items count="7">
        <item x="0"/>
        <item x="1"/>
        <item x="2"/>
        <item x="3"/>
        <item x="4"/>
        <item x="5"/>
        <item t="default"/>
      </items>
    </pivotField>
  </pivotFields>
  <rowFields count="1">
    <field x="7"/>
  </rowFields>
  <rowItems count="15">
    <i>
      <x v="5"/>
    </i>
    <i>
      <x v="9"/>
    </i>
    <i>
      <x v="10"/>
    </i>
    <i>
      <x v="4"/>
    </i>
    <i>
      <x v="3"/>
    </i>
    <i>
      <x v="2"/>
    </i>
    <i>
      <x v="6"/>
    </i>
    <i>
      <x v="8"/>
    </i>
    <i>
      <x v="11"/>
    </i>
    <i>
      <x v="1"/>
    </i>
    <i>
      <x v="13"/>
    </i>
    <i>
      <x v="7"/>
    </i>
    <i>
      <x v="12"/>
    </i>
    <i>
      <x/>
    </i>
    <i t="grand">
      <x/>
    </i>
  </rowItems>
  <colFields count="1">
    <field x="-2"/>
  </colFields>
  <colItems count="2">
    <i>
      <x/>
    </i>
    <i i="1">
      <x v="1"/>
    </i>
  </colItems>
  <dataFields count="2">
    <dataField name="P Units Sold" fld="4" baseField="7" baseItem="0"/>
    <dataField name="C Revenue" fld="8" baseField="7" baseItem="0" numFmtId="166"/>
  </dataFields>
  <formats count="2">
    <format dxfId="9">
      <pivotArea dataOnly="0" labelOnly="1" outline="0" axis="axisValues" fieldPosition="0"/>
    </format>
    <format dxfId="8">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F361104-1093-40B2-8E29-88397FFD642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C15:D23" firstHeaderRow="1" firstDataRow="1" firstDataCol="1"/>
  <pivotFields count="10">
    <pivotField numFmtId="15" showAll="0">
      <items count="78">
        <item x="47"/>
        <item x="51"/>
        <item x="29"/>
        <item x="56"/>
        <item x="60"/>
        <item x="36"/>
        <item x="44"/>
        <item x="25"/>
        <item x="49"/>
        <item x="46"/>
        <item x="4"/>
        <item x="2"/>
        <item x="66"/>
        <item x="16"/>
        <item x="8"/>
        <item x="13"/>
        <item x="50"/>
        <item x="27"/>
        <item x="32"/>
        <item x="7"/>
        <item x="68"/>
        <item x="54"/>
        <item x="39"/>
        <item x="70"/>
        <item x="45"/>
        <item x="20"/>
        <item x="11"/>
        <item x="18"/>
        <item x="38"/>
        <item x="40"/>
        <item x="33"/>
        <item x="48"/>
        <item x="69"/>
        <item x="58"/>
        <item x="31"/>
        <item x="21"/>
        <item x="59"/>
        <item x="41"/>
        <item x="63"/>
        <item x="65"/>
        <item x="19"/>
        <item x="42"/>
        <item x="1"/>
        <item x="71"/>
        <item x="55"/>
        <item x="14"/>
        <item x="10"/>
        <item x="12"/>
        <item x="52"/>
        <item x="61"/>
        <item x="6"/>
        <item x="34"/>
        <item x="26"/>
        <item x="24"/>
        <item x="23"/>
        <item x="76"/>
        <item x="3"/>
        <item x="62"/>
        <item x="72"/>
        <item x="17"/>
        <item x="5"/>
        <item x="67"/>
        <item x="22"/>
        <item x="57"/>
        <item x="43"/>
        <item x="53"/>
        <item x="64"/>
        <item x="75"/>
        <item x="15"/>
        <item x="0"/>
        <item x="37"/>
        <item x="28"/>
        <item x="73"/>
        <item x="74"/>
        <item x="9"/>
        <item x="30"/>
        <item x="35"/>
        <item t="default"/>
      </items>
    </pivotField>
    <pivotField showAll="0"/>
    <pivotField axis="axisRow" showAll="0" sortType="descending">
      <items count="8">
        <item x="4"/>
        <item x="0"/>
        <item x="3"/>
        <item x="2"/>
        <item x="6"/>
        <item x="5"/>
        <item x="1"/>
        <item t="default"/>
      </items>
      <autoSortScope>
        <pivotArea dataOnly="0" outline="0" fieldPosition="0">
          <references count="1">
            <reference field="4294967294" count="1" selected="0">
              <x v="0"/>
            </reference>
          </references>
        </pivotArea>
      </autoSortScope>
    </pivotField>
    <pivotField showAll="0"/>
    <pivotField showAll="0"/>
    <pivotField numFmtId="44" showAll="0"/>
    <pivotField showAll="0"/>
    <pivotField showAll="0"/>
    <pivotField dataField="1" numFmtId="44" showAll="0">
      <items count="66">
        <item x="7"/>
        <item x="12"/>
        <item x="14"/>
        <item x="31"/>
        <item x="44"/>
        <item x="20"/>
        <item x="57"/>
        <item x="34"/>
        <item x="11"/>
        <item x="17"/>
        <item x="42"/>
        <item x="9"/>
        <item x="33"/>
        <item x="15"/>
        <item x="60"/>
        <item x="36"/>
        <item x="30"/>
        <item x="43"/>
        <item x="49"/>
        <item x="18"/>
        <item x="4"/>
        <item x="23"/>
        <item x="6"/>
        <item x="24"/>
        <item x="3"/>
        <item x="21"/>
        <item x="59"/>
        <item x="50"/>
        <item x="38"/>
        <item x="29"/>
        <item x="35"/>
        <item x="48"/>
        <item x="37"/>
        <item x="47"/>
        <item x="40"/>
        <item x="16"/>
        <item x="28"/>
        <item x="0"/>
        <item x="1"/>
        <item x="56"/>
        <item x="53"/>
        <item x="8"/>
        <item x="2"/>
        <item x="58"/>
        <item x="39"/>
        <item x="61"/>
        <item x="26"/>
        <item x="41"/>
        <item x="63"/>
        <item x="10"/>
        <item x="32"/>
        <item x="54"/>
        <item x="62"/>
        <item x="5"/>
        <item x="52"/>
        <item x="51"/>
        <item x="45"/>
        <item x="22"/>
        <item x="27"/>
        <item x="19"/>
        <item x="25"/>
        <item x="55"/>
        <item x="13"/>
        <item x="46"/>
        <item x="64"/>
        <item t="default"/>
      </items>
    </pivotField>
    <pivotField showAll="0">
      <items count="7">
        <item x="0"/>
        <item x="1"/>
        <item x="2"/>
        <item x="3"/>
        <item x="4"/>
        <item x="5"/>
        <item t="default"/>
      </items>
    </pivotField>
  </pivotFields>
  <rowFields count="1">
    <field x="2"/>
  </rowFields>
  <rowItems count="8">
    <i>
      <x v="6"/>
    </i>
    <i>
      <x v="1"/>
    </i>
    <i>
      <x v="5"/>
    </i>
    <i>
      <x/>
    </i>
    <i>
      <x v="3"/>
    </i>
    <i>
      <x v="2"/>
    </i>
    <i>
      <x v="4"/>
    </i>
    <i t="grand">
      <x/>
    </i>
  </rowItems>
  <colItems count="1">
    <i/>
  </colItems>
  <dataFields count="1">
    <dataField name="P Revenue" fld="8" baseField="2" baseItem="6" numFmtId="165"/>
  </dataFields>
  <formats count="2">
    <format dxfId="11">
      <pivotArea dataOnly="0" labelOnly="1" outline="0" axis="axisValues" fieldPosition="0"/>
    </format>
    <format dxfId="10">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68AF8AB-E441-4C5E-A8ED-5DC1E5417CF0}" sourceName="Region">
  <pivotTables>
    <pivotTable tabId="7" name="PivotTable6"/>
  </pivotTables>
  <data>
    <tabular pivotCacheId="2095437000">
      <items count="4">
        <i x="1" s="1"/>
        <i x="2"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572C07F-1E1A-40ED-B6B2-278514A3B7FB}" sourceName="Product">
  <pivotTables>
    <pivotTable tabId="7" name="PivotTable6"/>
  </pivotTables>
  <data>
    <tabular pivotCacheId="2095437000">
      <items count="7">
        <i x="4" s="1"/>
        <i x="0" s="1"/>
        <i x="3" s="1"/>
        <i x="2" s="1"/>
        <i x="6" s="1"/>
        <i x="5"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C22E709-4FBD-4523-9F6F-F6B11ECA362D}" sourceName="Category">
  <pivotTables>
    <pivotTable tabId="7" name="PivotTable6"/>
  </pivotTables>
  <data>
    <tabular pivotCacheId="2095437000">
      <items count="6">
        <i x="5" s="1"/>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ts_Sold" xr10:uid="{9D2E9E43-94A1-460A-BA3D-C47A0C94B8D8}" sourceName="Units Sold">
  <pivotTables>
    <pivotTable tabId="7" name="PivotTable6"/>
  </pivotTables>
  <data>
    <tabular pivotCacheId="2095437000">
      <items count="20">
        <i x="10" s="1"/>
        <i x="7" s="1"/>
        <i x="6" s="1"/>
        <i x="8" s="1"/>
        <i x="4" s="1"/>
        <i x="1" s="1"/>
        <i x="17" s="1"/>
        <i x="0" s="1"/>
        <i x="16" s="1"/>
        <i x="12" s="1"/>
        <i x="11" s="1"/>
        <i x="13" s="1"/>
        <i x="18" s="1"/>
        <i x="2" s="1"/>
        <i x="15" s="1"/>
        <i x="19" s="1"/>
        <i x="14" s="1"/>
        <i x="3" s="1"/>
        <i x="5" s="1"/>
        <i x="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73903993-BE79-4494-B5A0-71E2CEDE4B57}" sourceName="Sales Rep">
  <pivotTables>
    <pivotTable tabId="7" name="PivotTable6"/>
  </pivotTables>
  <data>
    <tabular pivotCacheId="2095437000">
      <items count="10">
        <i x="8" s="1"/>
        <i x="3" s="1"/>
        <i x="4" s="1"/>
        <i x="2" s="1"/>
        <i x="6" s="1"/>
        <i x="1" s="1"/>
        <i x="7" s="1"/>
        <i x="5" s="1"/>
        <i x="0" s="1"/>
        <i x="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5E638BD9-27BF-4553-9A41-C25149A38D12}" sourceName="Customer">
  <pivotTables>
    <pivotTable tabId="7" name="PivotTable6"/>
  </pivotTables>
  <data>
    <tabular pivotCacheId="2095437000">
      <items count="14">
        <i x="13" s="1"/>
        <i x="5" s="1"/>
        <i x="0" s="1"/>
        <i x="4" s="1"/>
        <i x="8" s="1"/>
        <i x="10" s="1"/>
        <i x="3" s="1"/>
        <i x="7" s="1"/>
        <i x="11" s="1"/>
        <i x="1" s="1"/>
        <i x="6" s="1"/>
        <i x="9" s="1"/>
        <i x="12"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 xr10:uid="{5E6073FD-9D3D-4376-B971-9A61385F8455}" sourceName="Revenue">
  <pivotTables>
    <pivotTable tabId="7" name="PivotTable6"/>
    <pivotTable tabId="7" name="PivotTable10"/>
    <pivotTable tabId="7" name="PivotTable2"/>
    <pivotTable tabId="7" name="PivotTable3"/>
    <pivotTable tabId="7" name="PivotTable4"/>
    <pivotTable tabId="7" name="PivotTable9"/>
    <pivotTable tabId="6" name="PivotTable1"/>
    <pivotTable tabId="6" name="PivotTable10"/>
    <pivotTable tabId="6" name="PivotTable11"/>
    <pivotTable tabId="6" name="PivotTable13"/>
    <pivotTable tabId="6" name="PivotTable3"/>
    <pivotTable tabId="6" name="PivotTable6"/>
    <pivotTable tabId="6" name="PivotTable7"/>
    <pivotTable tabId="6" name="PivotTable8"/>
  </pivotTables>
  <data>
    <tabular pivotCacheId="2095437000">
      <items count="65">
        <i x="7" s="1"/>
        <i x="12" s="1"/>
        <i x="14" s="1"/>
        <i x="31" s="1"/>
        <i x="44" s="1"/>
        <i x="20" s="1"/>
        <i x="57" s="1"/>
        <i x="34" s="1"/>
        <i x="11" s="1"/>
        <i x="17" s="1"/>
        <i x="42" s="1"/>
        <i x="9" s="1"/>
        <i x="33" s="1"/>
        <i x="15" s="1"/>
        <i x="60" s="1"/>
        <i x="36" s="1"/>
        <i x="30" s="1"/>
        <i x="43" s="1"/>
        <i x="49" s="1"/>
        <i x="18" s="1"/>
        <i x="4" s="1"/>
        <i x="23" s="1"/>
        <i x="6" s="1"/>
        <i x="24" s="1"/>
        <i x="3" s="1"/>
        <i x="21" s="1"/>
        <i x="59" s="1"/>
        <i x="50" s="1"/>
        <i x="38" s="1"/>
        <i x="29" s="1"/>
        <i x="35" s="1"/>
        <i x="48" s="1"/>
        <i x="37" s="1"/>
        <i x="47" s="1"/>
        <i x="40" s="1"/>
        <i x="16" s="1"/>
        <i x="28" s="1"/>
        <i x="0" s="1"/>
        <i x="1" s="1"/>
        <i x="56" s="1"/>
        <i x="53" s="1"/>
        <i x="8" s="1"/>
        <i x="2" s="1"/>
        <i x="58" s="1"/>
        <i x="39" s="1"/>
        <i x="61" s="1"/>
        <i x="26" s="1"/>
        <i x="41" s="1"/>
        <i x="63" s="1"/>
        <i x="10" s="1"/>
        <i x="32" s="1"/>
        <i x="54" s="1"/>
        <i x="62" s="1"/>
        <i x="5" s="1"/>
        <i x="52" s="1"/>
        <i x="51" s="1"/>
        <i x="45" s="1"/>
        <i x="22" s="1"/>
        <i x="27" s="1"/>
        <i x="19" s="1"/>
        <i x="25" s="1"/>
        <i x="55" s="1"/>
        <i x="13" s="1"/>
        <i x="46" s="1"/>
        <i x="6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AB5DC3D-5390-4A9D-A1FE-9619414F2ADD}" cache="Slicer_Region" caption="Region" showCaption="0" rowHeight="234950"/>
  <slicer name="Product" xr10:uid="{E81813AB-77C4-4A9D-8E29-405F4105E73F}" cache="Slicer_Product" caption="Product" showCaption="0" rowHeight="234950"/>
  <slicer name="Category" xr10:uid="{67E396A7-D604-4C09-ABAA-63BC81207983}" cache="Slicer_Category" caption="Category" showCaption="0" rowHeight="234950"/>
  <slicer name="Units Sold" xr10:uid="{9C40FEEF-8C43-406D-BE95-B8D96DB603D5}" cache="Slicer_Units_Sold" caption="Units Sold" startItem="3" showCaption="0" rowHeight="234950"/>
  <slicer name="Sales Rep" xr10:uid="{81C01CE7-8C1C-4B05-A588-8CFC3CD7E7E8}" cache="Slicer_Sales_Rep" caption="Sales Rep" showCaption="0" rowHeight="234950"/>
  <slicer name="Customer" xr10:uid="{5579DCC3-B315-438A-90AB-18FEC221B9C5}" cache="Slicer_Customer" caption="Customer" showCaption="0" rowHeight="234950"/>
  <slicer name="Revenue" xr10:uid="{3D6F2B3F-7007-48E2-AFDE-E3E73F58DEEE}" cache="Slicer_Revenue" caption="Revenue" showCaption="0"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0C2F819-D240-451B-899E-F8A786CA058C}" name="Table3" displayName="Table3" ref="A1:I1048576" totalsRowShown="0">
  <autoFilter ref="A1:I1048576" xr:uid="{40C2F819-D240-451B-899E-F8A786CA058C}"/>
  <tableColumns count="9">
    <tableColumn id="1" xr3:uid="{003D8D98-44B8-4823-8375-B33A54F9453B}" name="Date"/>
    <tableColumn id="2" xr3:uid="{C927D1EB-F378-4449-A95F-CCEF8E53895E}" name="Region"/>
    <tableColumn id="3" xr3:uid="{B25E2933-0899-413D-9EBC-AAA69A52816A}" name="Product"/>
    <tableColumn id="4" xr3:uid="{603921D2-FF82-47F4-8E21-D4DEE8F3EEA4}" name="Category"/>
    <tableColumn id="5" xr3:uid="{8039CC67-EFFD-41A2-A31C-C5C77516004F}" name="Units Sold"/>
    <tableColumn id="6" xr3:uid="{516E54B7-B77A-40C9-8AC6-4995482C1DB8}" name="Unit Price" dataDxfId="13"/>
    <tableColumn id="7" xr3:uid="{29441397-F59F-4B39-9CEF-E6DC9CE729B1}" name="Sales Rep"/>
    <tableColumn id="8" xr3:uid="{F2FA000D-54A1-4E07-9EAF-DEC8AB22E5BC}" name="Customer"/>
    <tableColumn id="9" xr3:uid="{16D7080E-AB7C-40B5-9F6E-045B2601F3C4}" name="Revenue" dataDxfId="12" dataCellStyle="Currenc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2.xml"/><Relationship Id="rId7" Type="http://schemas.openxmlformats.org/officeDocument/2006/relationships/drawing" Target="../drawings/drawing3.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71AE3-4DFA-46B3-8FA3-6F0C05532777}">
  <dimension ref="A1:O15"/>
  <sheetViews>
    <sheetView workbookViewId="0">
      <selection activeCell="E15" sqref="E15"/>
    </sheetView>
  </sheetViews>
  <sheetFormatPr defaultColWidth="0" defaultRowHeight="14.4" zeroHeight="1" x14ac:dyDescent="0.3"/>
  <cols>
    <col min="1" max="1" width="3.44140625" style="4" customWidth="1"/>
    <col min="2" max="15" width="8.77734375" style="4" customWidth="1"/>
    <col min="16" max="16384" width="8.77734375" style="4" hidden="1"/>
  </cols>
  <sheetData>
    <row r="1" spans="2:14" x14ac:dyDescent="0.3"/>
    <row r="2" spans="2:14" ht="34.200000000000003" thickBot="1" x14ac:dyDescent="0.7">
      <c r="B2" s="5" t="s">
        <v>468</v>
      </c>
      <c r="C2" s="6"/>
      <c r="D2" s="6"/>
      <c r="E2" s="6"/>
      <c r="F2" s="6"/>
      <c r="G2" s="6"/>
      <c r="H2" s="6"/>
      <c r="I2" s="6"/>
      <c r="J2" s="6"/>
      <c r="K2" s="6"/>
      <c r="L2" s="6"/>
      <c r="M2" s="6"/>
      <c r="N2" s="6"/>
    </row>
    <row r="3" spans="2:14" x14ac:dyDescent="0.3"/>
    <row r="4" spans="2:14" x14ac:dyDescent="0.3"/>
    <row r="5" spans="2:14" x14ac:dyDescent="0.3"/>
    <row r="6" spans="2:14" x14ac:dyDescent="0.3"/>
    <row r="7" spans="2:14" x14ac:dyDescent="0.3"/>
    <row r="8" spans="2:14" x14ac:dyDescent="0.3"/>
    <row r="9" spans="2:14" x14ac:dyDescent="0.3"/>
    <row r="10" spans="2:14" x14ac:dyDescent="0.3"/>
    <row r="11" spans="2:14" x14ac:dyDescent="0.3"/>
    <row r="12" spans="2:14" x14ac:dyDescent="0.3"/>
    <row r="13" spans="2:14" x14ac:dyDescent="0.3"/>
    <row r="14" spans="2:14" x14ac:dyDescent="0.3"/>
    <row r="15" spans="2:1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workbookViewId="0">
      <pane ySplit="1" topLeftCell="A2" activePane="bottomLeft" state="frozen"/>
      <selection pane="bottomLeft" activeCell="C19" sqref="C19"/>
    </sheetView>
  </sheetViews>
  <sheetFormatPr defaultRowHeight="14.4" x14ac:dyDescent="0.3"/>
  <cols>
    <col min="1" max="9" width="18.88671875" customWidth="1"/>
  </cols>
  <sheetData>
    <row r="1" spans="1:8" x14ac:dyDescent="0.3">
      <c r="A1" s="2" t="s">
        <v>0</v>
      </c>
      <c r="B1" s="2" t="s">
        <v>1</v>
      </c>
      <c r="C1" s="2" t="s">
        <v>2</v>
      </c>
      <c r="D1" s="2" t="s">
        <v>3</v>
      </c>
      <c r="E1" s="2" t="s">
        <v>4</v>
      </c>
      <c r="F1" s="2" t="s">
        <v>5</v>
      </c>
      <c r="G1" s="2" t="s">
        <v>6</v>
      </c>
      <c r="H1" s="2" t="s">
        <v>7</v>
      </c>
    </row>
    <row r="2" spans="1:8" x14ac:dyDescent="0.3">
      <c r="A2" s="3">
        <v>45821</v>
      </c>
      <c r="B2" s="1" t="s">
        <v>8</v>
      </c>
      <c r="C2" s="1" t="s">
        <v>9</v>
      </c>
      <c r="D2" s="1" t="s">
        <v>10</v>
      </c>
      <c r="E2" s="1">
        <v>8</v>
      </c>
      <c r="F2" s="1">
        <v>2500000</v>
      </c>
      <c r="G2" s="1" t="s">
        <v>11</v>
      </c>
      <c r="H2" s="1" t="s">
        <v>12</v>
      </c>
    </row>
    <row r="3" spans="1:8" x14ac:dyDescent="0.3">
      <c r="A3" s="3">
        <v>45755</v>
      </c>
      <c r="B3" s="1" t="s">
        <v>13</v>
      </c>
      <c r="C3" s="1" t="s">
        <v>14</v>
      </c>
      <c r="D3" s="1" t="s">
        <v>15</v>
      </c>
      <c r="E3" s="1">
        <v>6</v>
      </c>
      <c r="F3" s="1">
        <v>350000</v>
      </c>
      <c r="G3" s="1" t="s">
        <v>16</v>
      </c>
      <c r="H3" s="1" t="s">
        <v>17</v>
      </c>
    </row>
    <row r="4" spans="1:8" x14ac:dyDescent="0.3">
      <c r="A4" s="3">
        <v>45686</v>
      </c>
      <c r="B4" s="1" t="s">
        <v>18</v>
      </c>
      <c r="C4" s="1" t="s">
        <v>19</v>
      </c>
      <c r="D4" s="1" t="s">
        <v>20</v>
      </c>
      <c r="E4" s="1">
        <v>14</v>
      </c>
      <c r="F4" s="1">
        <v>180000</v>
      </c>
      <c r="G4" s="1" t="s">
        <v>21</v>
      </c>
      <c r="H4" s="1" t="s">
        <v>22</v>
      </c>
    </row>
    <row r="5" spans="1:8" x14ac:dyDescent="0.3">
      <c r="A5" s="1" t="s">
        <v>23</v>
      </c>
      <c r="B5" s="1" t="s">
        <v>24</v>
      </c>
      <c r="C5" s="1" t="s">
        <v>25</v>
      </c>
      <c r="D5" s="1" t="s">
        <v>26</v>
      </c>
      <c r="E5" s="1">
        <v>18</v>
      </c>
      <c r="F5" s="1">
        <v>65000</v>
      </c>
      <c r="G5" s="1" t="s">
        <v>27</v>
      </c>
      <c r="H5" s="1" t="s">
        <v>28</v>
      </c>
    </row>
    <row r="6" spans="1:8" x14ac:dyDescent="0.3">
      <c r="A6" s="1" t="s">
        <v>29</v>
      </c>
      <c r="B6" s="1" t="s">
        <v>30</v>
      </c>
      <c r="C6" s="1" t="s">
        <v>31</v>
      </c>
      <c r="D6" s="1" t="s">
        <v>32</v>
      </c>
      <c r="E6" s="1">
        <v>5</v>
      </c>
      <c r="F6" s="1">
        <v>180000</v>
      </c>
      <c r="G6" s="1" t="s">
        <v>33</v>
      </c>
      <c r="H6" s="1" t="s">
        <v>34</v>
      </c>
    </row>
    <row r="7" spans="1:8" x14ac:dyDescent="0.3">
      <c r="A7" s="1" t="s">
        <v>35</v>
      </c>
      <c r="B7" s="1" t="s">
        <v>36</v>
      </c>
      <c r="C7" s="1" t="s">
        <v>31</v>
      </c>
      <c r="D7" s="1" t="s">
        <v>37</v>
      </c>
      <c r="E7" s="1">
        <v>19</v>
      </c>
      <c r="F7" s="1">
        <v>157427</v>
      </c>
      <c r="G7" s="1" t="s">
        <v>38</v>
      </c>
      <c r="H7" s="1" t="s">
        <v>39</v>
      </c>
    </row>
    <row r="8" spans="1:8" x14ac:dyDescent="0.3">
      <c r="A8" s="1" t="s">
        <v>40</v>
      </c>
      <c r="B8" s="1" t="s">
        <v>41</v>
      </c>
      <c r="C8" s="1" t="s">
        <v>42</v>
      </c>
      <c r="D8" s="1" t="s">
        <v>43</v>
      </c>
      <c r="E8" s="1">
        <v>3</v>
      </c>
      <c r="F8" s="1">
        <v>350000</v>
      </c>
      <c r="G8" s="1" t="s">
        <v>44</v>
      </c>
      <c r="H8" s="1" t="s">
        <v>45</v>
      </c>
    </row>
    <row r="9" spans="1:8" x14ac:dyDescent="0.3">
      <c r="A9" s="1" t="s">
        <v>46</v>
      </c>
      <c r="B9" s="1" t="s">
        <v>47</v>
      </c>
      <c r="C9" s="1" t="s">
        <v>48</v>
      </c>
      <c r="D9" s="1" t="s">
        <v>49</v>
      </c>
      <c r="E9" s="1">
        <v>2</v>
      </c>
      <c r="F9" s="1">
        <v>65000</v>
      </c>
      <c r="G9" s="1" t="s">
        <v>50</v>
      </c>
      <c r="H9" s="1" t="s">
        <v>51</v>
      </c>
    </row>
    <row r="10" spans="1:8" x14ac:dyDescent="0.3">
      <c r="A10" s="1" t="s">
        <v>52</v>
      </c>
      <c r="B10" s="1" t="s">
        <v>53</v>
      </c>
      <c r="C10" s="1" t="s">
        <v>54</v>
      </c>
      <c r="D10" s="1" t="s">
        <v>55</v>
      </c>
      <c r="E10" s="1">
        <v>14</v>
      </c>
      <c r="F10" s="1">
        <v>175000</v>
      </c>
      <c r="G10" s="1" t="s">
        <v>56</v>
      </c>
      <c r="H10" s="1" t="s">
        <v>57</v>
      </c>
    </row>
    <row r="11" spans="1:8" x14ac:dyDescent="0.3">
      <c r="A11" s="1" t="s">
        <v>58</v>
      </c>
      <c r="B11" s="1" t="s">
        <v>59</v>
      </c>
      <c r="C11" s="1" t="s">
        <v>60</v>
      </c>
      <c r="D11" s="1" t="s">
        <v>61</v>
      </c>
      <c r="E11" s="1">
        <v>4</v>
      </c>
      <c r="F11" s="1">
        <v>150000</v>
      </c>
      <c r="G11" s="1" t="s">
        <v>62</v>
      </c>
      <c r="H11" s="1" t="s">
        <v>63</v>
      </c>
    </row>
    <row r="12" spans="1:8" x14ac:dyDescent="0.3">
      <c r="A12" s="1" t="s">
        <v>64</v>
      </c>
      <c r="B12" s="1" t="s">
        <v>65</v>
      </c>
      <c r="C12" s="1" t="s">
        <v>66</v>
      </c>
      <c r="D12" s="1" t="s">
        <v>67</v>
      </c>
      <c r="E12" s="1">
        <v>20</v>
      </c>
      <c r="F12" s="1">
        <v>150000</v>
      </c>
      <c r="G12" s="1" t="s">
        <v>68</v>
      </c>
      <c r="H12" s="1" t="s">
        <v>69</v>
      </c>
    </row>
    <row r="13" spans="1:8" x14ac:dyDescent="0.3">
      <c r="A13" s="1" t="s">
        <v>70</v>
      </c>
      <c r="B13" s="1" t="s">
        <v>71</v>
      </c>
      <c r="C13" s="1" t="s">
        <v>72</v>
      </c>
      <c r="D13" s="1" t="s">
        <v>73</v>
      </c>
      <c r="E13" s="1">
        <v>6</v>
      </c>
      <c r="F13" s="1">
        <v>85000</v>
      </c>
      <c r="G13" s="1" t="s">
        <v>74</v>
      </c>
      <c r="H13" s="1" t="s">
        <v>75</v>
      </c>
    </row>
    <row r="14" spans="1:8" x14ac:dyDescent="0.3">
      <c r="A14" s="1" t="s">
        <v>76</v>
      </c>
      <c r="B14" s="1" t="s">
        <v>41</v>
      </c>
      <c r="C14" s="1" t="s">
        <v>77</v>
      </c>
      <c r="D14" s="1" t="s">
        <v>78</v>
      </c>
      <c r="E14" s="1">
        <v>1</v>
      </c>
      <c r="F14" s="1">
        <v>150000</v>
      </c>
      <c r="G14" s="1" t="s">
        <v>79</v>
      </c>
      <c r="H14" s="1" t="s">
        <v>80</v>
      </c>
    </row>
    <row r="15" spans="1:8" x14ac:dyDescent="0.3">
      <c r="A15" s="1" t="s">
        <v>81</v>
      </c>
      <c r="B15" s="1" t="s">
        <v>82</v>
      </c>
      <c r="C15" s="1" t="s">
        <v>83</v>
      </c>
      <c r="D15" s="1" t="s">
        <v>15</v>
      </c>
      <c r="E15" s="1">
        <v>18</v>
      </c>
      <c r="F15" s="1">
        <v>35000</v>
      </c>
      <c r="G15" s="1" t="s">
        <v>84</v>
      </c>
      <c r="H15" s="1" t="s">
        <v>85</v>
      </c>
    </row>
    <row r="16" spans="1:8" x14ac:dyDescent="0.3">
      <c r="A16" s="1" t="s">
        <v>86</v>
      </c>
      <c r="B16" s="1" t="s">
        <v>87</v>
      </c>
      <c r="C16" s="1" t="s">
        <v>88</v>
      </c>
      <c r="D16" s="1" t="s">
        <v>89</v>
      </c>
      <c r="E16" s="1">
        <v>2</v>
      </c>
      <c r="F16" s="1">
        <v>85000</v>
      </c>
      <c r="G16" s="1" t="s">
        <v>90</v>
      </c>
      <c r="H16" s="1" t="s">
        <v>91</v>
      </c>
    </row>
    <row r="17" spans="1:8" x14ac:dyDescent="0.3">
      <c r="A17" s="1" t="s">
        <v>92</v>
      </c>
      <c r="B17" s="1" t="s">
        <v>93</v>
      </c>
      <c r="C17" s="1" t="s">
        <v>94</v>
      </c>
      <c r="D17" s="1" t="s">
        <v>95</v>
      </c>
      <c r="E17" s="1">
        <v>11</v>
      </c>
      <c r="F17" s="1">
        <v>62035</v>
      </c>
      <c r="G17" s="1" t="s">
        <v>96</v>
      </c>
      <c r="H17" s="1" t="s">
        <v>97</v>
      </c>
    </row>
    <row r="18" spans="1:8" x14ac:dyDescent="0.3">
      <c r="A18" s="1" t="s">
        <v>98</v>
      </c>
      <c r="B18" s="1" t="s">
        <v>99</v>
      </c>
      <c r="C18" s="1" t="s">
        <v>100</v>
      </c>
      <c r="D18" s="1" t="s">
        <v>101</v>
      </c>
      <c r="E18" s="1">
        <v>10</v>
      </c>
      <c r="F18" s="1">
        <v>175000</v>
      </c>
      <c r="G18" s="1" t="s">
        <v>102</v>
      </c>
      <c r="H18" s="1" t="s">
        <v>75</v>
      </c>
    </row>
    <row r="19" spans="1:8" x14ac:dyDescent="0.3">
      <c r="A19" s="1" t="s">
        <v>103</v>
      </c>
      <c r="B19" s="1" t="s">
        <v>104</v>
      </c>
      <c r="C19" s="1" t="s">
        <v>105</v>
      </c>
      <c r="D19" s="1" t="s">
        <v>37</v>
      </c>
      <c r="E19" s="1">
        <v>4</v>
      </c>
      <c r="F19" s="1">
        <v>150000</v>
      </c>
      <c r="G19" s="1" t="s">
        <v>106</v>
      </c>
      <c r="H19" s="1" t="s">
        <v>107</v>
      </c>
    </row>
    <row r="20" spans="1:8" x14ac:dyDescent="0.3">
      <c r="A20" s="1" t="s">
        <v>108</v>
      </c>
      <c r="B20" s="1" t="s">
        <v>59</v>
      </c>
      <c r="C20" s="1" t="s">
        <v>109</v>
      </c>
      <c r="D20" s="1" t="s">
        <v>110</v>
      </c>
      <c r="E20" s="1">
        <v>3</v>
      </c>
      <c r="F20" s="1">
        <v>175000</v>
      </c>
      <c r="G20" s="1" t="s">
        <v>111</v>
      </c>
      <c r="H20" s="1" t="s">
        <v>112</v>
      </c>
    </row>
    <row r="21" spans="1:8" x14ac:dyDescent="0.3">
      <c r="A21" s="1" t="s">
        <v>113</v>
      </c>
      <c r="B21" s="1" t="s">
        <v>114</v>
      </c>
      <c r="C21" s="1" t="s">
        <v>115</v>
      </c>
      <c r="D21" s="1" t="s">
        <v>110</v>
      </c>
      <c r="E21" s="1">
        <v>5</v>
      </c>
      <c r="F21" s="1">
        <v>175000</v>
      </c>
      <c r="G21" s="1" t="s">
        <v>116</v>
      </c>
      <c r="H21" s="1" t="s">
        <v>112</v>
      </c>
    </row>
    <row r="22" spans="1:8" x14ac:dyDescent="0.3">
      <c r="A22" s="1" t="s">
        <v>117</v>
      </c>
      <c r="B22" s="1" t="s">
        <v>118</v>
      </c>
      <c r="C22" s="1" t="s">
        <v>119</v>
      </c>
      <c r="D22" s="1" t="s">
        <v>120</v>
      </c>
      <c r="E22" s="1">
        <v>20</v>
      </c>
      <c r="F22" s="1">
        <v>250000</v>
      </c>
      <c r="G22" s="1" t="s">
        <v>121</v>
      </c>
      <c r="H22" s="1" t="s">
        <v>39</v>
      </c>
    </row>
    <row r="23" spans="1:8" x14ac:dyDescent="0.3">
      <c r="A23" s="1" t="s">
        <v>122</v>
      </c>
      <c r="B23" s="1" t="s">
        <v>99</v>
      </c>
      <c r="C23" s="1" t="s">
        <v>123</v>
      </c>
      <c r="D23" s="1" t="s">
        <v>124</v>
      </c>
      <c r="E23" s="1">
        <v>2</v>
      </c>
      <c r="F23" s="1">
        <v>175000</v>
      </c>
      <c r="G23" s="1" t="s">
        <v>125</v>
      </c>
      <c r="H23" s="1" t="s">
        <v>126</v>
      </c>
    </row>
    <row r="24" spans="1:8" x14ac:dyDescent="0.3">
      <c r="A24" s="1" t="s">
        <v>127</v>
      </c>
      <c r="B24" s="1" t="s">
        <v>128</v>
      </c>
      <c r="C24" s="1" t="s">
        <v>129</v>
      </c>
      <c r="D24" s="1" t="s">
        <v>130</v>
      </c>
      <c r="E24" s="1">
        <v>20</v>
      </c>
      <c r="F24" s="1">
        <v>150000</v>
      </c>
      <c r="G24" s="1" t="s">
        <v>102</v>
      </c>
      <c r="H24" s="1" t="s">
        <v>131</v>
      </c>
    </row>
    <row r="25" spans="1:8" x14ac:dyDescent="0.3">
      <c r="A25" s="1" t="s">
        <v>132</v>
      </c>
      <c r="B25" s="1" t="s">
        <v>133</v>
      </c>
      <c r="C25" s="1" t="s">
        <v>134</v>
      </c>
      <c r="D25" s="1" t="s">
        <v>135</v>
      </c>
      <c r="E25" s="1">
        <v>8</v>
      </c>
      <c r="F25" s="1">
        <v>150000</v>
      </c>
      <c r="G25" s="1" t="s">
        <v>136</v>
      </c>
      <c r="H25" s="1" t="s">
        <v>137</v>
      </c>
    </row>
    <row r="26" spans="1:8" x14ac:dyDescent="0.3">
      <c r="A26" s="1" t="s">
        <v>138</v>
      </c>
      <c r="B26" s="1" t="s">
        <v>139</v>
      </c>
      <c r="C26" s="1" t="s">
        <v>140</v>
      </c>
      <c r="D26" s="1" t="s">
        <v>141</v>
      </c>
      <c r="E26" s="1">
        <v>19</v>
      </c>
      <c r="F26" s="1">
        <v>250000</v>
      </c>
      <c r="G26" s="1" t="s">
        <v>142</v>
      </c>
      <c r="H26" s="1" t="s">
        <v>143</v>
      </c>
    </row>
    <row r="27" spans="1:8" x14ac:dyDescent="0.3">
      <c r="A27" s="1" t="s">
        <v>144</v>
      </c>
      <c r="B27" s="1" t="s">
        <v>145</v>
      </c>
      <c r="C27" s="1" t="s">
        <v>146</v>
      </c>
      <c r="D27" s="1" t="s">
        <v>147</v>
      </c>
      <c r="E27" s="1">
        <v>12</v>
      </c>
      <c r="F27" s="1">
        <v>175000</v>
      </c>
      <c r="G27" s="1" t="s">
        <v>148</v>
      </c>
      <c r="H27" s="1" t="s">
        <v>75</v>
      </c>
    </row>
    <row r="28" spans="1:8" x14ac:dyDescent="0.3">
      <c r="A28" s="1" t="s">
        <v>149</v>
      </c>
      <c r="B28" s="1" t="s">
        <v>150</v>
      </c>
      <c r="C28" s="1" t="s">
        <v>151</v>
      </c>
      <c r="D28" s="1" t="s">
        <v>152</v>
      </c>
      <c r="E28" s="1">
        <v>11</v>
      </c>
      <c r="F28" s="1">
        <v>85000</v>
      </c>
      <c r="G28" s="1" t="s">
        <v>153</v>
      </c>
      <c r="H28" s="1" t="s">
        <v>154</v>
      </c>
    </row>
    <row r="29" spans="1:8" x14ac:dyDescent="0.3">
      <c r="A29" s="1" t="s">
        <v>155</v>
      </c>
      <c r="B29" s="1" t="s">
        <v>133</v>
      </c>
      <c r="C29" s="1" t="s">
        <v>156</v>
      </c>
      <c r="D29" s="1" t="s">
        <v>157</v>
      </c>
      <c r="E29" s="1">
        <v>17</v>
      </c>
      <c r="F29" s="1">
        <v>65000</v>
      </c>
      <c r="G29" s="1" t="s">
        <v>116</v>
      </c>
      <c r="H29" s="1" t="s">
        <v>158</v>
      </c>
    </row>
    <row r="30" spans="1:8" x14ac:dyDescent="0.3">
      <c r="A30" s="1" t="s">
        <v>159</v>
      </c>
      <c r="B30" s="1" t="s">
        <v>160</v>
      </c>
      <c r="C30" s="1" t="s">
        <v>161</v>
      </c>
      <c r="D30" s="1" t="s">
        <v>162</v>
      </c>
      <c r="E30" s="1">
        <v>15</v>
      </c>
      <c r="F30" s="1">
        <v>350000</v>
      </c>
      <c r="G30" s="1" t="s">
        <v>471</v>
      </c>
      <c r="H30" s="1" t="s">
        <v>163</v>
      </c>
    </row>
    <row r="31" spans="1:8" x14ac:dyDescent="0.3">
      <c r="A31" s="1" t="s">
        <v>164</v>
      </c>
      <c r="B31" s="1" t="s">
        <v>47</v>
      </c>
      <c r="C31" s="1" t="s">
        <v>14</v>
      </c>
      <c r="D31" s="1" t="s">
        <v>165</v>
      </c>
      <c r="E31" s="1">
        <v>8</v>
      </c>
      <c r="F31" s="1">
        <v>350000</v>
      </c>
      <c r="G31" s="1" t="s">
        <v>166</v>
      </c>
      <c r="H31" s="1" t="s">
        <v>167</v>
      </c>
    </row>
    <row r="32" spans="1:8" x14ac:dyDescent="0.3">
      <c r="A32" s="1" t="s">
        <v>168</v>
      </c>
      <c r="B32" s="1" t="s">
        <v>169</v>
      </c>
      <c r="C32" s="1" t="s">
        <v>14</v>
      </c>
      <c r="D32" s="1" t="s">
        <v>170</v>
      </c>
      <c r="E32" s="1">
        <v>14</v>
      </c>
      <c r="F32" s="1">
        <v>350000</v>
      </c>
      <c r="G32" s="1" t="s">
        <v>84</v>
      </c>
      <c r="H32" s="1" t="s">
        <v>171</v>
      </c>
    </row>
    <row r="33" spans="1:8" x14ac:dyDescent="0.3">
      <c r="A33" s="1" t="s">
        <v>172</v>
      </c>
      <c r="B33" s="1" t="s">
        <v>99</v>
      </c>
      <c r="C33" s="1" t="s">
        <v>173</v>
      </c>
      <c r="D33" s="1" t="s">
        <v>174</v>
      </c>
      <c r="E33" s="1">
        <v>12</v>
      </c>
      <c r="F33" s="1">
        <v>150000</v>
      </c>
      <c r="G33" s="1" t="s">
        <v>21</v>
      </c>
      <c r="H33" s="1" t="s">
        <v>175</v>
      </c>
    </row>
    <row r="34" spans="1:8" x14ac:dyDescent="0.3">
      <c r="A34" s="1" t="s">
        <v>176</v>
      </c>
      <c r="B34" s="1" t="s">
        <v>177</v>
      </c>
      <c r="C34" s="1" t="s">
        <v>115</v>
      </c>
      <c r="D34" s="1" t="s">
        <v>178</v>
      </c>
      <c r="E34" s="1">
        <v>8</v>
      </c>
      <c r="F34" s="1">
        <v>175000</v>
      </c>
      <c r="G34" s="1" t="s">
        <v>179</v>
      </c>
      <c r="H34" s="1" t="s">
        <v>180</v>
      </c>
    </row>
    <row r="35" spans="1:8" x14ac:dyDescent="0.3">
      <c r="A35" s="1" t="s">
        <v>181</v>
      </c>
      <c r="B35" s="1" t="s">
        <v>8</v>
      </c>
      <c r="C35" s="1" t="s">
        <v>129</v>
      </c>
      <c r="D35" s="1" t="s">
        <v>182</v>
      </c>
      <c r="E35" s="1">
        <v>6</v>
      </c>
      <c r="F35" s="1">
        <v>150000</v>
      </c>
      <c r="G35" s="1" t="s">
        <v>183</v>
      </c>
      <c r="H35" s="1" t="s">
        <v>184</v>
      </c>
    </row>
    <row r="36" spans="1:8" x14ac:dyDescent="0.3">
      <c r="A36" s="1" t="s">
        <v>185</v>
      </c>
      <c r="B36" s="1" t="s">
        <v>59</v>
      </c>
      <c r="C36" s="1" t="s">
        <v>186</v>
      </c>
      <c r="D36" s="1" t="s">
        <v>120</v>
      </c>
      <c r="E36" s="1">
        <v>20</v>
      </c>
      <c r="F36" s="1">
        <v>2500000</v>
      </c>
      <c r="G36" s="1" t="s">
        <v>187</v>
      </c>
      <c r="H36" s="1" t="s">
        <v>188</v>
      </c>
    </row>
    <row r="37" spans="1:8" x14ac:dyDescent="0.3">
      <c r="A37" s="1" t="s">
        <v>189</v>
      </c>
      <c r="B37" s="1" t="s">
        <v>24</v>
      </c>
      <c r="C37" s="1" t="s">
        <v>190</v>
      </c>
      <c r="D37" s="1" t="s">
        <v>191</v>
      </c>
      <c r="E37" s="1">
        <v>12</v>
      </c>
      <c r="F37" s="1">
        <v>65000</v>
      </c>
      <c r="G37" s="1" t="s">
        <v>50</v>
      </c>
      <c r="H37" s="1" t="s">
        <v>192</v>
      </c>
    </row>
    <row r="38" spans="1:8" x14ac:dyDescent="0.3">
      <c r="A38" s="1" t="s">
        <v>193</v>
      </c>
      <c r="B38" s="1" t="s">
        <v>160</v>
      </c>
      <c r="C38" s="1" t="s">
        <v>194</v>
      </c>
      <c r="D38" s="1" t="s">
        <v>195</v>
      </c>
      <c r="E38" s="1">
        <v>4</v>
      </c>
      <c r="F38" s="1">
        <v>73740</v>
      </c>
      <c r="G38" s="1" t="s">
        <v>196</v>
      </c>
      <c r="H38" s="1" t="s">
        <v>197</v>
      </c>
    </row>
    <row r="39" spans="1:8" x14ac:dyDescent="0.3">
      <c r="A39" s="1" t="s">
        <v>198</v>
      </c>
      <c r="B39" s="1" t="s">
        <v>199</v>
      </c>
      <c r="C39" s="1" t="s">
        <v>200</v>
      </c>
      <c r="D39" s="1" t="s">
        <v>201</v>
      </c>
      <c r="E39" s="1">
        <v>18</v>
      </c>
      <c r="F39" s="1">
        <v>175000</v>
      </c>
      <c r="G39" s="1" t="s">
        <v>202</v>
      </c>
      <c r="H39" s="1" t="s">
        <v>91</v>
      </c>
    </row>
    <row r="40" spans="1:8" x14ac:dyDescent="0.3">
      <c r="A40" s="1" t="s">
        <v>203</v>
      </c>
      <c r="B40" s="1" t="s">
        <v>204</v>
      </c>
      <c r="C40" s="1" t="s">
        <v>205</v>
      </c>
      <c r="D40" s="1" t="s">
        <v>206</v>
      </c>
      <c r="E40" s="1">
        <v>10</v>
      </c>
      <c r="F40" s="1">
        <v>180000</v>
      </c>
      <c r="G40" s="1" t="s">
        <v>207</v>
      </c>
      <c r="H40" s="1" t="s">
        <v>208</v>
      </c>
    </row>
    <row r="41" spans="1:8" x14ac:dyDescent="0.3">
      <c r="A41" s="1" t="s">
        <v>209</v>
      </c>
      <c r="B41" s="1" t="s">
        <v>128</v>
      </c>
      <c r="C41" s="1" t="s">
        <v>210</v>
      </c>
      <c r="D41" s="1" t="s">
        <v>157</v>
      </c>
      <c r="E41" s="1">
        <v>10</v>
      </c>
      <c r="F41" s="1">
        <v>65000</v>
      </c>
      <c r="G41" s="1" t="s">
        <v>470</v>
      </c>
      <c r="H41" s="1" t="s">
        <v>211</v>
      </c>
    </row>
    <row r="42" spans="1:8" x14ac:dyDescent="0.3">
      <c r="A42" s="1" t="s">
        <v>70</v>
      </c>
      <c r="B42" s="1" t="s">
        <v>212</v>
      </c>
      <c r="C42" s="1" t="s">
        <v>173</v>
      </c>
      <c r="D42" s="1" t="s">
        <v>20</v>
      </c>
      <c r="E42" s="1">
        <v>3</v>
      </c>
      <c r="F42" s="1">
        <v>150000</v>
      </c>
      <c r="G42" s="1" t="s">
        <v>213</v>
      </c>
      <c r="H42" s="1" t="s">
        <v>214</v>
      </c>
    </row>
    <row r="43" spans="1:8" x14ac:dyDescent="0.3">
      <c r="A43" s="1" t="s">
        <v>215</v>
      </c>
      <c r="B43" s="1" t="s">
        <v>216</v>
      </c>
      <c r="C43" s="1" t="s">
        <v>217</v>
      </c>
      <c r="D43" s="1" t="s">
        <v>20</v>
      </c>
      <c r="E43" s="1">
        <v>8</v>
      </c>
      <c r="F43" s="1">
        <v>180000</v>
      </c>
      <c r="G43" s="1" t="s">
        <v>79</v>
      </c>
      <c r="H43" s="1" t="s">
        <v>75</v>
      </c>
    </row>
    <row r="44" spans="1:8" x14ac:dyDescent="0.3">
      <c r="A44" s="1" t="s">
        <v>218</v>
      </c>
      <c r="B44" s="1" t="s">
        <v>219</v>
      </c>
      <c r="C44" s="1" t="s">
        <v>220</v>
      </c>
      <c r="D44" s="1" t="s">
        <v>141</v>
      </c>
      <c r="E44" s="1">
        <v>3</v>
      </c>
      <c r="F44" s="1">
        <v>250000</v>
      </c>
      <c r="G44" s="1" t="s">
        <v>221</v>
      </c>
      <c r="H44" s="1" t="s">
        <v>222</v>
      </c>
    </row>
    <row r="45" spans="1:8" x14ac:dyDescent="0.3">
      <c r="A45" s="1" t="s">
        <v>223</v>
      </c>
      <c r="B45" s="1" t="s">
        <v>224</v>
      </c>
      <c r="C45" s="1" t="s">
        <v>225</v>
      </c>
      <c r="D45" s="1" t="s">
        <v>226</v>
      </c>
      <c r="E45" s="1">
        <v>18</v>
      </c>
      <c r="F45" s="1">
        <v>85000</v>
      </c>
      <c r="G45" s="1" t="s">
        <v>227</v>
      </c>
      <c r="H45" s="1" t="s">
        <v>180</v>
      </c>
    </row>
    <row r="46" spans="1:8" x14ac:dyDescent="0.3">
      <c r="A46" s="1" t="s">
        <v>228</v>
      </c>
      <c r="B46" s="1" t="s">
        <v>229</v>
      </c>
      <c r="C46" s="1" t="s">
        <v>60</v>
      </c>
      <c r="D46" s="1" t="s">
        <v>37</v>
      </c>
      <c r="E46" s="1">
        <v>9</v>
      </c>
      <c r="F46" s="1">
        <v>150000</v>
      </c>
      <c r="G46" s="1" t="s">
        <v>230</v>
      </c>
      <c r="H46" s="1" t="s">
        <v>231</v>
      </c>
    </row>
    <row r="47" spans="1:8" x14ac:dyDescent="0.3">
      <c r="A47" s="1" t="s">
        <v>232</v>
      </c>
      <c r="B47" s="1" t="s">
        <v>233</v>
      </c>
      <c r="C47" s="1" t="s">
        <v>234</v>
      </c>
      <c r="D47" s="1" t="s">
        <v>235</v>
      </c>
      <c r="E47" s="1">
        <v>18</v>
      </c>
      <c r="F47" s="1">
        <v>150000</v>
      </c>
      <c r="G47" s="1" t="s">
        <v>236</v>
      </c>
      <c r="H47" s="1" t="s">
        <v>237</v>
      </c>
    </row>
    <row r="48" spans="1:8" x14ac:dyDescent="0.3">
      <c r="A48" s="1" t="s">
        <v>238</v>
      </c>
      <c r="B48" s="1" t="s">
        <v>239</v>
      </c>
      <c r="C48" s="1" t="s">
        <v>129</v>
      </c>
      <c r="D48" s="1" t="s">
        <v>67</v>
      </c>
      <c r="E48" s="1">
        <v>11</v>
      </c>
      <c r="F48" s="1">
        <v>150000</v>
      </c>
      <c r="G48" s="1" t="s">
        <v>240</v>
      </c>
      <c r="H48" s="1" t="s">
        <v>241</v>
      </c>
    </row>
    <row r="49" spans="1:8" x14ac:dyDescent="0.3">
      <c r="A49" s="1" t="s">
        <v>242</v>
      </c>
      <c r="B49" s="1" t="s">
        <v>243</v>
      </c>
      <c r="C49" s="1" t="s">
        <v>244</v>
      </c>
      <c r="D49" s="1" t="s">
        <v>165</v>
      </c>
      <c r="E49" s="1">
        <v>4</v>
      </c>
      <c r="F49" s="1">
        <v>350000</v>
      </c>
      <c r="G49" s="1" t="s">
        <v>245</v>
      </c>
      <c r="H49" s="1" t="s">
        <v>246</v>
      </c>
    </row>
    <row r="50" spans="1:8" x14ac:dyDescent="0.3">
      <c r="A50" s="1" t="s">
        <v>247</v>
      </c>
      <c r="B50" s="1" t="s">
        <v>87</v>
      </c>
      <c r="C50" s="1" t="s">
        <v>105</v>
      </c>
      <c r="D50" s="1" t="s">
        <v>248</v>
      </c>
      <c r="E50" s="1">
        <v>19</v>
      </c>
      <c r="F50" s="1">
        <v>150000</v>
      </c>
      <c r="G50" s="1" t="s">
        <v>469</v>
      </c>
      <c r="H50" s="1" t="s">
        <v>249</v>
      </c>
    </row>
    <row r="51" spans="1:8" x14ac:dyDescent="0.3">
      <c r="A51" s="1" t="s">
        <v>250</v>
      </c>
      <c r="B51" s="1" t="s">
        <v>53</v>
      </c>
      <c r="C51" s="1" t="s">
        <v>251</v>
      </c>
      <c r="D51" s="1" t="s">
        <v>252</v>
      </c>
      <c r="E51" s="1">
        <v>7</v>
      </c>
      <c r="F51" s="1">
        <v>85000</v>
      </c>
      <c r="G51" s="1" t="s">
        <v>253</v>
      </c>
      <c r="H51" s="1" t="s">
        <v>254</v>
      </c>
    </row>
    <row r="52" spans="1:8" x14ac:dyDescent="0.3">
      <c r="A52" s="1" t="s">
        <v>255</v>
      </c>
      <c r="B52" s="1" t="s">
        <v>256</v>
      </c>
      <c r="C52" s="1" t="s">
        <v>257</v>
      </c>
      <c r="D52" s="1" t="s">
        <v>258</v>
      </c>
      <c r="E52" s="1">
        <v>13</v>
      </c>
      <c r="F52" s="1">
        <v>57912</v>
      </c>
      <c r="G52" s="1" t="s">
        <v>259</v>
      </c>
      <c r="H52" s="1" t="s">
        <v>260</v>
      </c>
    </row>
    <row r="53" spans="1:8" x14ac:dyDescent="0.3">
      <c r="A53" s="1" t="s">
        <v>261</v>
      </c>
      <c r="B53" s="1" t="s">
        <v>128</v>
      </c>
      <c r="C53" s="1" t="s">
        <v>156</v>
      </c>
      <c r="D53" s="1" t="s">
        <v>262</v>
      </c>
      <c r="E53" s="1">
        <v>18</v>
      </c>
      <c r="F53" s="1">
        <v>650000</v>
      </c>
      <c r="G53" s="1" t="s">
        <v>263</v>
      </c>
      <c r="H53" s="1" t="s">
        <v>264</v>
      </c>
    </row>
    <row r="54" spans="1:8" x14ac:dyDescent="0.3">
      <c r="A54" s="1" t="s">
        <v>265</v>
      </c>
      <c r="B54" s="1" t="s">
        <v>266</v>
      </c>
      <c r="C54" s="1" t="s">
        <v>94</v>
      </c>
      <c r="D54" s="1" t="s">
        <v>191</v>
      </c>
      <c r="E54" s="1">
        <v>5</v>
      </c>
      <c r="F54" s="1">
        <v>65000</v>
      </c>
      <c r="G54" s="1" t="s">
        <v>267</v>
      </c>
      <c r="H54" s="1" t="s">
        <v>268</v>
      </c>
    </row>
    <row r="55" spans="1:8" x14ac:dyDescent="0.3">
      <c r="A55" s="1" t="s">
        <v>269</v>
      </c>
      <c r="B55" s="1" t="s">
        <v>8</v>
      </c>
      <c r="C55" s="1" t="s">
        <v>244</v>
      </c>
      <c r="D55" s="1" t="s">
        <v>43</v>
      </c>
      <c r="E55" s="1">
        <v>13</v>
      </c>
      <c r="F55" s="1">
        <v>350000</v>
      </c>
      <c r="G55" s="1" t="s">
        <v>116</v>
      </c>
      <c r="H55" s="1" t="s">
        <v>270</v>
      </c>
    </row>
    <row r="56" spans="1:8" x14ac:dyDescent="0.3">
      <c r="A56" s="1" t="s">
        <v>271</v>
      </c>
      <c r="B56" s="1" t="s">
        <v>272</v>
      </c>
      <c r="C56" s="1" t="s">
        <v>273</v>
      </c>
      <c r="D56" s="1" t="s">
        <v>165</v>
      </c>
      <c r="E56" s="1">
        <v>19</v>
      </c>
      <c r="F56" s="1">
        <v>350000</v>
      </c>
      <c r="G56" s="1" t="s">
        <v>274</v>
      </c>
      <c r="H56" s="1" t="s">
        <v>275</v>
      </c>
    </row>
    <row r="57" spans="1:8" x14ac:dyDescent="0.3">
      <c r="A57" s="1" t="s">
        <v>276</v>
      </c>
      <c r="B57" s="1" t="s">
        <v>277</v>
      </c>
      <c r="C57" s="1" t="s">
        <v>278</v>
      </c>
      <c r="D57" s="1" t="s">
        <v>32</v>
      </c>
      <c r="E57" s="1">
        <v>9</v>
      </c>
      <c r="F57" s="1">
        <v>180000</v>
      </c>
      <c r="G57" s="1" t="s">
        <v>279</v>
      </c>
      <c r="H57" s="1" t="s">
        <v>280</v>
      </c>
    </row>
    <row r="58" spans="1:8" x14ac:dyDescent="0.3">
      <c r="A58" s="1" t="s">
        <v>281</v>
      </c>
      <c r="B58" s="1" t="s">
        <v>93</v>
      </c>
      <c r="C58" s="1" t="s">
        <v>282</v>
      </c>
      <c r="D58" s="1" t="s">
        <v>283</v>
      </c>
      <c r="E58" s="1">
        <v>10</v>
      </c>
      <c r="F58" s="1">
        <v>150000</v>
      </c>
      <c r="G58" s="1" t="s">
        <v>284</v>
      </c>
      <c r="H58" s="1" t="s">
        <v>285</v>
      </c>
    </row>
    <row r="59" spans="1:8" x14ac:dyDescent="0.3">
      <c r="A59" s="1" t="s">
        <v>286</v>
      </c>
      <c r="B59" s="1" t="s">
        <v>287</v>
      </c>
      <c r="C59" s="1" t="s">
        <v>251</v>
      </c>
      <c r="D59" s="1" t="s">
        <v>288</v>
      </c>
      <c r="E59" s="1">
        <v>10</v>
      </c>
      <c r="F59" s="1">
        <v>85000</v>
      </c>
      <c r="G59" s="1" t="s">
        <v>279</v>
      </c>
      <c r="H59" s="1" t="s">
        <v>289</v>
      </c>
    </row>
    <row r="60" spans="1:8" x14ac:dyDescent="0.3">
      <c r="A60" s="1" t="s">
        <v>290</v>
      </c>
      <c r="B60" s="1" t="s">
        <v>291</v>
      </c>
      <c r="C60" s="1" t="s">
        <v>292</v>
      </c>
      <c r="D60" s="1" t="s">
        <v>293</v>
      </c>
      <c r="E60" s="1">
        <v>5</v>
      </c>
      <c r="F60" s="1">
        <v>25000</v>
      </c>
      <c r="G60" s="1" t="s">
        <v>294</v>
      </c>
      <c r="H60" s="1" t="s">
        <v>295</v>
      </c>
    </row>
    <row r="61" spans="1:8" x14ac:dyDescent="0.3">
      <c r="A61" s="1" t="s">
        <v>108</v>
      </c>
      <c r="B61" s="1" t="s">
        <v>296</v>
      </c>
      <c r="C61" s="1" t="s">
        <v>173</v>
      </c>
      <c r="D61" s="1" t="s">
        <v>283</v>
      </c>
      <c r="E61" s="1">
        <v>1</v>
      </c>
      <c r="F61" s="1">
        <v>150000</v>
      </c>
      <c r="G61" s="1" t="s">
        <v>121</v>
      </c>
      <c r="H61" s="1" t="s">
        <v>17</v>
      </c>
    </row>
    <row r="62" spans="1:8" x14ac:dyDescent="0.3">
      <c r="A62" s="1" t="s">
        <v>297</v>
      </c>
      <c r="B62" s="1" t="s">
        <v>298</v>
      </c>
      <c r="C62" s="1" t="s">
        <v>299</v>
      </c>
      <c r="D62" s="1" t="s">
        <v>300</v>
      </c>
      <c r="E62" s="1">
        <v>20</v>
      </c>
      <c r="F62" s="1">
        <v>150000</v>
      </c>
      <c r="G62" s="1" t="s">
        <v>301</v>
      </c>
      <c r="H62" s="1" t="s">
        <v>302</v>
      </c>
    </row>
    <row r="63" spans="1:8" x14ac:dyDescent="0.3">
      <c r="A63" s="1" t="s">
        <v>185</v>
      </c>
      <c r="B63" s="1" t="s">
        <v>303</v>
      </c>
      <c r="C63" s="1" t="s">
        <v>304</v>
      </c>
      <c r="D63" s="1" t="s">
        <v>305</v>
      </c>
      <c r="E63" s="1">
        <v>11</v>
      </c>
      <c r="F63" s="1">
        <v>350000</v>
      </c>
      <c r="G63" s="1" t="s">
        <v>306</v>
      </c>
      <c r="H63" s="1" t="s">
        <v>307</v>
      </c>
    </row>
    <row r="64" spans="1:8" x14ac:dyDescent="0.3">
      <c r="A64" s="1" t="s">
        <v>308</v>
      </c>
      <c r="B64" s="1" t="s">
        <v>309</v>
      </c>
      <c r="C64" s="1" t="s">
        <v>310</v>
      </c>
      <c r="D64" s="1" t="s">
        <v>311</v>
      </c>
      <c r="E64" s="1">
        <v>14</v>
      </c>
      <c r="F64" s="1">
        <v>250000</v>
      </c>
      <c r="G64" s="1" t="s">
        <v>312</v>
      </c>
      <c r="H64" s="1" t="s">
        <v>313</v>
      </c>
    </row>
    <row r="65" spans="1:8" x14ac:dyDescent="0.3">
      <c r="A65" s="1" t="s">
        <v>314</v>
      </c>
      <c r="B65" s="1" t="s">
        <v>315</v>
      </c>
      <c r="C65" s="1" t="s">
        <v>105</v>
      </c>
      <c r="D65" s="1" t="s">
        <v>20</v>
      </c>
      <c r="E65" s="1">
        <v>3</v>
      </c>
      <c r="F65" s="1">
        <v>150000</v>
      </c>
      <c r="G65" s="1" t="s">
        <v>316</v>
      </c>
      <c r="H65" s="1" t="s">
        <v>12</v>
      </c>
    </row>
    <row r="66" spans="1:8" x14ac:dyDescent="0.3">
      <c r="A66" s="1" t="s">
        <v>317</v>
      </c>
      <c r="B66" s="1" t="s">
        <v>296</v>
      </c>
      <c r="C66" s="1" t="s">
        <v>318</v>
      </c>
      <c r="D66" s="1" t="s">
        <v>226</v>
      </c>
      <c r="E66" s="1">
        <v>6</v>
      </c>
      <c r="F66" s="1">
        <v>85000</v>
      </c>
      <c r="G66" s="1" t="s">
        <v>319</v>
      </c>
      <c r="H66" s="1" t="s">
        <v>320</v>
      </c>
    </row>
    <row r="67" spans="1:8" x14ac:dyDescent="0.3">
      <c r="A67" s="1" t="s">
        <v>321</v>
      </c>
      <c r="B67" s="1" t="s">
        <v>322</v>
      </c>
      <c r="C67" s="1" t="s">
        <v>304</v>
      </c>
      <c r="D67" s="1" t="s">
        <v>15</v>
      </c>
      <c r="E67" s="1">
        <v>15</v>
      </c>
      <c r="F67" s="1">
        <v>350000</v>
      </c>
      <c r="G67" s="1" t="s">
        <v>323</v>
      </c>
      <c r="H67" s="1" t="s">
        <v>324</v>
      </c>
    </row>
    <row r="68" spans="1:8" x14ac:dyDescent="0.3">
      <c r="A68" s="1" t="s">
        <v>325</v>
      </c>
      <c r="B68" s="1" t="s">
        <v>114</v>
      </c>
      <c r="C68" s="1" t="s">
        <v>105</v>
      </c>
      <c r="D68" s="1" t="s">
        <v>326</v>
      </c>
      <c r="E68" s="1">
        <v>16</v>
      </c>
      <c r="F68" s="1">
        <v>150000</v>
      </c>
      <c r="G68" s="1" t="s">
        <v>327</v>
      </c>
      <c r="H68" s="1" t="s">
        <v>313</v>
      </c>
    </row>
    <row r="69" spans="1:8" x14ac:dyDescent="0.3">
      <c r="A69" s="1" t="s">
        <v>328</v>
      </c>
      <c r="B69" s="1" t="s">
        <v>199</v>
      </c>
      <c r="C69" s="1" t="s">
        <v>329</v>
      </c>
      <c r="D69" s="1" t="s">
        <v>330</v>
      </c>
      <c r="E69" s="1">
        <v>8</v>
      </c>
      <c r="F69" s="1">
        <v>175000</v>
      </c>
      <c r="G69" s="1" t="s">
        <v>331</v>
      </c>
      <c r="H69" s="1" t="s">
        <v>91</v>
      </c>
    </row>
    <row r="70" spans="1:8" x14ac:dyDescent="0.3">
      <c r="A70" s="1" t="s">
        <v>332</v>
      </c>
      <c r="B70" s="1" t="s">
        <v>243</v>
      </c>
      <c r="C70" s="1" t="s">
        <v>333</v>
      </c>
      <c r="D70" s="1" t="s">
        <v>334</v>
      </c>
      <c r="E70" s="1">
        <v>2</v>
      </c>
      <c r="F70" s="1">
        <v>85000</v>
      </c>
      <c r="G70" s="1" t="s">
        <v>335</v>
      </c>
      <c r="H70" s="1" t="s">
        <v>336</v>
      </c>
    </row>
    <row r="71" spans="1:8" x14ac:dyDescent="0.3">
      <c r="A71" s="1" t="s">
        <v>337</v>
      </c>
      <c r="B71" s="1" t="s">
        <v>133</v>
      </c>
      <c r="C71" s="1" t="s">
        <v>338</v>
      </c>
      <c r="D71" s="1" t="s">
        <v>339</v>
      </c>
      <c r="E71" s="1">
        <v>13</v>
      </c>
      <c r="F71" s="1">
        <v>250000</v>
      </c>
      <c r="G71" s="1" t="s">
        <v>340</v>
      </c>
      <c r="H71" s="1" t="s">
        <v>341</v>
      </c>
    </row>
    <row r="72" spans="1:8" x14ac:dyDescent="0.3">
      <c r="A72" s="1" t="s">
        <v>342</v>
      </c>
      <c r="B72" s="1" t="s">
        <v>169</v>
      </c>
      <c r="C72" s="1" t="s">
        <v>156</v>
      </c>
      <c r="D72" s="1" t="s">
        <v>49</v>
      </c>
      <c r="E72" s="1">
        <v>11</v>
      </c>
      <c r="F72" s="1">
        <v>65000</v>
      </c>
      <c r="G72" s="1" t="s">
        <v>343</v>
      </c>
      <c r="H72" s="1" t="s">
        <v>344</v>
      </c>
    </row>
    <row r="73" spans="1:8" x14ac:dyDescent="0.3">
      <c r="A73" s="1" t="s">
        <v>168</v>
      </c>
      <c r="B73" s="1" t="s">
        <v>345</v>
      </c>
      <c r="C73" s="1" t="s">
        <v>346</v>
      </c>
      <c r="D73" s="1" t="s">
        <v>347</v>
      </c>
      <c r="E73" s="1">
        <v>17</v>
      </c>
      <c r="F73" s="1">
        <v>3500</v>
      </c>
      <c r="G73" s="1" t="s">
        <v>348</v>
      </c>
      <c r="H73" s="1" t="s">
        <v>349</v>
      </c>
    </row>
    <row r="74" spans="1:8" x14ac:dyDescent="0.3">
      <c r="A74" s="1" t="s">
        <v>350</v>
      </c>
      <c r="B74" s="1" t="s">
        <v>59</v>
      </c>
      <c r="C74" s="1" t="s">
        <v>351</v>
      </c>
      <c r="D74" s="1" t="s">
        <v>352</v>
      </c>
      <c r="E74" s="1">
        <v>18</v>
      </c>
      <c r="F74" s="1">
        <v>65000</v>
      </c>
      <c r="G74" s="1" t="s">
        <v>116</v>
      </c>
      <c r="H74" s="1" t="s">
        <v>112</v>
      </c>
    </row>
    <row r="75" spans="1:8" x14ac:dyDescent="0.3">
      <c r="A75" s="1" t="s">
        <v>353</v>
      </c>
      <c r="B75" s="1" t="s">
        <v>53</v>
      </c>
      <c r="C75" s="1" t="s">
        <v>354</v>
      </c>
      <c r="D75" s="1" t="s">
        <v>283</v>
      </c>
      <c r="E75" s="1">
        <v>13</v>
      </c>
      <c r="F75" s="1">
        <v>180000</v>
      </c>
      <c r="G75" s="1" t="s">
        <v>142</v>
      </c>
      <c r="H75" s="1" t="s">
        <v>355</v>
      </c>
    </row>
    <row r="76" spans="1:8" x14ac:dyDescent="0.3">
      <c r="A76" s="1" t="s">
        <v>356</v>
      </c>
      <c r="B76" s="1" t="s">
        <v>65</v>
      </c>
      <c r="C76" s="1" t="s">
        <v>357</v>
      </c>
      <c r="D76" s="1" t="s">
        <v>201</v>
      </c>
      <c r="E76" s="1">
        <v>10</v>
      </c>
      <c r="F76" s="1">
        <v>175000</v>
      </c>
      <c r="G76" s="1" t="s">
        <v>358</v>
      </c>
      <c r="H76" s="1" t="s">
        <v>359</v>
      </c>
    </row>
    <row r="77" spans="1:8" x14ac:dyDescent="0.3">
      <c r="A77" s="1" t="s">
        <v>360</v>
      </c>
      <c r="B77" s="1" t="s">
        <v>361</v>
      </c>
      <c r="C77" s="1" t="s">
        <v>225</v>
      </c>
      <c r="D77" s="1" t="s">
        <v>362</v>
      </c>
      <c r="E77" s="1">
        <v>5</v>
      </c>
      <c r="F77" s="1">
        <v>85000</v>
      </c>
      <c r="G77" s="1" t="s">
        <v>363</v>
      </c>
      <c r="H77" s="1" t="s">
        <v>364</v>
      </c>
    </row>
    <row r="78" spans="1:8" x14ac:dyDescent="0.3">
      <c r="A78" s="1" t="s">
        <v>365</v>
      </c>
      <c r="B78" s="1" t="s">
        <v>366</v>
      </c>
      <c r="C78" s="1" t="s">
        <v>367</v>
      </c>
      <c r="D78" s="1" t="s">
        <v>368</v>
      </c>
      <c r="E78" s="1">
        <v>17</v>
      </c>
      <c r="F78" s="1">
        <v>350000</v>
      </c>
      <c r="G78" s="1" t="s">
        <v>196</v>
      </c>
      <c r="H78" s="1" t="s">
        <v>369</v>
      </c>
    </row>
    <row r="79" spans="1:8" x14ac:dyDescent="0.3">
      <c r="A79" s="1" t="s">
        <v>370</v>
      </c>
      <c r="B79" s="1" t="s">
        <v>371</v>
      </c>
      <c r="C79" s="1" t="s">
        <v>372</v>
      </c>
      <c r="D79" s="1" t="s">
        <v>165</v>
      </c>
      <c r="E79" s="1">
        <v>13</v>
      </c>
      <c r="F79" s="1">
        <v>350000</v>
      </c>
      <c r="G79" s="1" t="s">
        <v>373</v>
      </c>
      <c r="H79" s="1" t="s">
        <v>374</v>
      </c>
    </row>
    <row r="80" spans="1:8" x14ac:dyDescent="0.3">
      <c r="A80" s="1" t="s">
        <v>375</v>
      </c>
      <c r="B80" s="1" t="s">
        <v>71</v>
      </c>
      <c r="C80" s="1" t="s">
        <v>376</v>
      </c>
      <c r="D80" s="1" t="s">
        <v>377</v>
      </c>
      <c r="E80" s="1">
        <v>8</v>
      </c>
      <c r="F80" s="1">
        <v>350000</v>
      </c>
      <c r="G80" s="1" t="s">
        <v>378</v>
      </c>
      <c r="H80" s="1" t="s">
        <v>131</v>
      </c>
    </row>
    <row r="81" spans="1:8" x14ac:dyDescent="0.3">
      <c r="A81" s="1" t="s">
        <v>379</v>
      </c>
      <c r="B81" s="1" t="s">
        <v>380</v>
      </c>
      <c r="C81" s="1" t="s">
        <v>381</v>
      </c>
      <c r="D81" s="1" t="s">
        <v>382</v>
      </c>
      <c r="E81" s="1">
        <v>13</v>
      </c>
      <c r="F81" s="1">
        <v>85000</v>
      </c>
      <c r="G81" s="1" t="s">
        <v>383</v>
      </c>
      <c r="H81" s="1" t="s">
        <v>131</v>
      </c>
    </row>
    <row r="82" spans="1:8" x14ac:dyDescent="0.3">
      <c r="A82" s="1" t="s">
        <v>384</v>
      </c>
      <c r="B82" s="1" t="s">
        <v>385</v>
      </c>
      <c r="C82" s="1" t="s">
        <v>386</v>
      </c>
      <c r="D82" s="1" t="s">
        <v>387</v>
      </c>
      <c r="E82" s="1">
        <v>17</v>
      </c>
      <c r="F82" s="1">
        <v>150000</v>
      </c>
      <c r="G82" s="1" t="s">
        <v>388</v>
      </c>
      <c r="H82" s="1" t="s">
        <v>389</v>
      </c>
    </row>
    <row r="83" spans="1:8" x14ac:dyDescent="0.3">
      <c r="A83" s="1" t="s">
        <v>390</v>
      </c>
      <c r="B83" s="1" t="s">
        <v>391</v>
      </c>
      <c r="C83" s="1" t="s">
        <v>392</v>
      </c>
      <c r="D83" s="1" t="s">
        <v>393</v>
      </c>
      <c r="E83" s="1">
        <v>19</v>
      </c>
      <c r="F83" s="1">
        <v>65000</v>
      </c>
      <c r="G83" s="1" t="s">
        <v>394</v>
      </c>
      <c r="H83" s="1" t="s">
        <v>395</v>
      </c>
    </row>
    <row r="84" spans="1:8" x14ac:dyDescent="0.3">
      <c r="A84" s="1" t="s">
        <v>396</v>
      </c>
      <c r="B84" s="1" t="s">
        <v>177</v>
      </c>
      <c r="C84" s="1" t="s">
        <v>60</v>
      </c>
      <c r="D84" s="1" t="s">
        <v>37</v>
      </c>
      <c r="E84" s="1">
        <v>1</v>
      </c>
      <c r="F84" s="1">
        <v>150000</v>
      </c>
      <c r="G84" s="1" t="s">
        <v>142</v>
      </c>
      <c r="H84" s="1" t="s">
        <v>397</v>
      </c>
    </row>
    <row r="85" spans="1:8" x14ac:dyDescent="0.3">
      <c r="A85" s="1" t="s">
        <v>398</v>
      </c>
      <c r="B85" s="1" t="s">
        <v>296</v>
      </c>
      <c r="C85" s="1" t="s">
        <v>292</v>
      </c>
      <c r="D85" s="1" t="s">
        <v>399</v>
      </c>
      <c r="E85" s="1">
        <v>13</v>
      </c>
      <c r="F85" s="1">
        <v>250000</v>
      </c>
      <c r="G85" s="1" t="s">
        <v>400</v>
      </c>
      <c r="H85" s="1" t="s">
        <v>285</v>
      </c>
    </row>
    <row r="86" spans="1:8" x14ac:dyDescent="0.3">
      <c r="A86" s="1" t="s">
        <v>401</v>
      </c>
      <c r="B86" s="1" t="s">
        <v>224</v>
      </c>
      <c r="C86" s="1" t="s">
        <v>402</v>
      </c>
      <c r="D86" s="1" t="s">
        <v>403</v>
      </c>
      <c r="E86" s="1">
        <v>18</v>
      </c>
      <c r="F86" s="1">
        <v>65000</v>
      </c>
      <c r="G86" s="1" t="s">
        <v>306</v>
      </c>
      <c r="H86" s="1" t="s">
        <v>214</v>
      </c>
    </row>
    <row r="87" spans="1:8" x14ac:dyDescent="0.3">
      <c r="A87" s="1" t="s">
        <v>404</v>
      </c>
      <c r="B87" s="1" t="s">
        <v>405</v>
      </c>
      <c r="C87" s="1" t="s">
        <v>406</v>
      </c>
      <c r="D87" s="1" t="s">
        <v>407</v>
      </c>
      <c r="E87" s="1">
        <v>20</v>
      </c>
      <c r="F87" s="1">
        <v>250000</v>
      </c>
      <c r="G87" s="1" t="s">
        <v>408</v>
      </c>
      <c r="H87" s="1" t="s">
        <v>409</v>
      </c>
    </row>
    <row r="88" spans="1:8" x14ac:dyDescent="0.3">
      <c r="A88" s="1" t="s">
        <v>410</v>
      </c>
      <c r="B88" s="1" t="s">
        <v>99</v>
      </c>
      <c r="C88" s="1" t="s">
        <v>278</v>
      </c>
      <c r="D88" s="1" t="s">
        <v>20</v>
      </c>
      <c r="E88" s="1">
        <v>4</v>
      </c>
      <c r="F88" s="1">
        <v>180000</v>
      </c>
      <c r="G88" s="1" t="s">
        <v>411</v>
      </c>
      <c r="H88" s="1" t="s">
        <v>39</v>
      </c>
    </row>
    <row r="89" spans="1:8" x14ac:dyDescent="0.3">
      <c r="A89" s="1" t="s">
        <v>412</v>
      </c>
      <c r="B89" s="1" t="s">
        <v>391</v>
      </c>
      <c r="C89" s="1" t="s">
        <v>60</v>
      </c>
      <c r="D89" s="1" t="s">
        <v>37</v>
      </c>
      <c r="E89" s="1">
        <v>5</v>
      </c>
      <c r="F89" s="1">
        <v>150000</v>
      </c>
      <c r="G89" s="1" t="s">
        <v>348</v>
      </c>
      <c r="H89" s="1" t="s">
        <v>413</v>
      </c>
    </row>
    <row r="90" spans="1:8" x14ac:dyDescent="0.3">
      <c r="A90" s="1" t="s">
        <v>414</v>
      </c>
      <c r="B90" s="1" t="s">
        <v>59</v>
      </c>
      <c r="C90" s="1" t="s">
        <v>415</v>
      </c>
      <c r="D90" s="1" t="s">
        <v>399</v>
      </c>
      <c r="E90" s="1">
        <v>11</v>
      </c>
      <c r="F90" s="1">
        <v>2500000</v>
      </c>
      <c r="G90" s="1" t="s">
        <v>21</v>
      </c>
      <c r="H90" s="1" t="s">
        <v>416</v>
      </c>
    </row>
    <row r="91" spans="1:8" x14ac:dyDescent="0.3">
      <c r="A91" s="1" t="s">
        <v>417</v>
      </c>
      <c r="B91" s="1" t="s">
        <v>99</v>
      </c>
      <c r="C91" s="1" t="s">
        <v>418</v>
      </c>
      <c r="D91" s="1" t="s">
        <v>419</v>
      </c>
      <c r="E91" s="1">
        <v>20</v>
      </c>
      <c r="F91" s="1">
        <v>250000</v>
      </c>
      <c r="G91" s="1" t="s">
        <v>420</v>
      </c>
      <c r="H91" s="1" t="s">
        <v>421</v>
      </c>
    </row>
    <row r="92" spans="1:8" x14ac:dyDescent="0.3">
      <c r="A92" s="1" t="s">
        <v>422</v>
      </c>
      <c r="B92" s="1" t="s">
        <v>423</v>
      </c>
      <c r="C92" s="1" t="s">
        <v>424</v>
      </c>
      <c r="D92" s="1" t="s">
        <v>425</v>
      </c>
      <c r="E92" s="1">
        <v>7</v>
      </c>
      <c r="F92" s="1">
        <v>89233</v>
      </c>
      <c r="G92" s="1" t="s">
        <v>426</v>
      </c>
      <c r="H92" s="1" t="s">
        <v>427</v>
      </c>
    </row>
    <row r="93" spans="1:8" x14ac:dyDescent="0.3">
      <c r="A93" s="1" t="s">
        <v>428</v>
      </c>
      <c r="B93" s="1" t="s">
        <v>429</v>
      </c>
      <c r="C93" s="1" t="s">
        <v>430</v>
      </c>
      <c r="D93" s="1" t="s">
        <v>431</v>
      </c>
      <c r="E93" s="1">
        <v>5</v>
      </c>
      <c r="F93" s="1">
        <v>250000</v>
      </c>
      <c r="G93" s="1" t="s">
        <v>432</v>
      </c>
      <c r="H93" s="1" t="s">
        <v>433</v>
      </c>
    </row>
    <row r="94" spans="1:8" x14ac:dyDescent="0.3">
      <c r="A94" s="1" t="s">
        <v>434</v>
      </c>
      <c r="B94" s="1" t="s">
        <v>435</v>
      </c>
      <c r="C94" s="1" t="s">
        <v>436</v>
      </c>
      <c r="D94" s="1" t="s">
        <v>201</v>
      </c>
      <c r="E94" s="1">
        <v>19</v>
      </c>
      <c r="F94" s="1">
        <v>175000</v>
      </c>
      <c r="G94" s="1" t="s">
        <v>437</v>
      </c>
      <c r="H94" s="1" t="s">
        <v>438</v>
      </c>
    </row>
    <row r="95" spans="1:8" x14ac:dyDescent="0.3">
      <c r="A95" s="1" t="s">
        <v>439</v>
      </c>
      <c r="B95" s="1" t="s">
        <v>296</v>
      </c>
      <c r="C95" s="1" t="s">
        <v>161</v>
      </c>
      <c r="D95" s="1" t="s">
        <v>165</v>
      </c>
      <c r="E95" s="1">
        <v>14</v>
      </c>
      <c r="F95" s="1">
        <v>350000</v>
      </c>
      <c r="G95" s="1" t="s">
        <v>440</v>
      </c>
      <c r="H95" s="1" t="s">
        <v>441</v>
      </c>
    </row>
    <row r="96" spans="1:8" x14ac:dyDescent="0.3">
      <c r="A96" s="1" t="s">
        <v>442</v>
      </c>
      <c r="B96" s="1" t="s">
        <v>296</v>
      </c>
      <c r="C96" s="1" t="s">
        <v>443</v>
      </c>
      <c r="D96" s="1" t="s">
        <v>444</v>
      </c>
      <c r="E96" s="1">
        <v>20</v>
      </c>
      <c r="F96" s="1">
        <v>175000</v>
      </c>
      <c r="G96" s="1" t="s">
        <v>445</v>
      </c>
      <c r="H96" s="1" t="s">
        <v>446</v>
      </c>
    </row>
    <row r="97" spans="1:8" x14ac:dyDescent="0.3">
      <c r="A97" s="1" t="s">
        <v>447</v>
      </c>
      <c r="B97" s="1" t="s">
        <v>448</v>
      </c>
      <c r="C97" s="1" t="s">
        <v>381</v>
      </c>
      <c r="D97" s="1" t="s">
        <v>449</v>
      </c>
      <c r="E97" s="1">
        <v>18</v>
      </c>
      <c r="F97" s="1">
        <v>85000</v>
      </c>
      <c r="G97" s="1" t="s">
        <v>450</v>
      </c>
      <c r="H97" s="1" t="s">
        <v>451</v>
      </c>
    </row>
    <row r="98" spans="1:8" x14ac:dyDescent="0.3">
      <c r="A98" s="1" t="s">
        <v>452</v>
      </c>
      <c r="B98" s="1" t="s">
        <v>453</v>
      </c>
      <c r="C98" s="1" t="s">
        <v>454</v>
      </c>
      <c r="D98" s="1" t="s">
        <v>455</v>
      </c>
      <c r="E98" s="1">
        <v>17</v>
      </c>
      <c r="F98" s="1">
        <v>175000</v>
      </c>
      <c r="G98" s="1" t="s">
        <v>456</v>
      </c>
      <c r="H98" s="1" t="s">
        <v>457</v>
      </c>
    </row>
    <row r="99" spans="1:8" x14ac:dyDescent="0.3">
      <c r="A99" s="1" t="s">
        <v>458</v>
      </c>
      <c r="B99" s="1" t="s">
        <v>8</v>
      </c>
      <c r="C99" s="1" t="s">
        <v>220</v>
      </c>
      <c r="D99" s="1" t="s">
        <v>399</v>
      </c>
      <c r="E99" s="1">
        <v>20</v>
      </c>
      <c r="F99" s="1">
        <v>250000</v>
      </c>
      <c r="G99" s="1" t="s">
        <v>319</v>
      </c>
      <c r="H99" s="1" t="s">
        <v>17</v>
      </c>
    </row>
    <row r="100" spans="1:8" x14ac:dyDescent="0.3">
      <c r="A100" s="1" t="s">
        <v>459</v>
      </c>
      <c r="B100" s="1" t="s">
        <v>216</v>
      </c>
      <c r="C100" s="1" t="s">
        <v>304</v>
      </c>
      <c r="D100" s="1" t="s">
        <v>165</v>
      </c>
      <c r="E100" s="1">
        <v>20</v>
      </c>
      <c r="F100" s="1">
        <v>350000</v>
      </c>
      <c r="G100" s="1" t="s">
        <v>460</v>
      </c>
      <c r="H100" s="1" t="s">
        <v>461</v>
      </c>
    </row>
    <row r="101" spans="1:8" x14ac:dyDescent="0.3">
      <c r="A101" s="1" t="s">
        <v>462</v>
      </c>
      <c r="B101" s="1" t="s">
        <v>463</v>
      </c>
      <c r="C101" s="1" t="s">
        <v>464</v>
      </c>
      <c r="D101" s="1" t="s">
        <v>465</v>
      </c>
      <c r="E101" s="1">
        <v>18</v>
      </c>
      <c r="F101" s="1">
        <v>150000</v>
      </c>
      <c r="G101" s="1" t="s">
        <v>466</v>
      </c>
      <c r="H101" s="1" t="s">
        <v>467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3F9B3-1100-4A9C-9184-0386CEE56996}">
  <dimension ref="A1:I101"/>
  <sheetViews>
    <sheetView zoomScale="75" workbookViewId="0">
      <selection activeCell="M8" sqref="M8"/>
    </sheetView>
  </sheetViews>
  <sheetFormatPr defaultRowHeight="14.4" x14ac:dyDescent="0.3"/>
  <cols>
    <col min="1" max="5" width="18.88671875" customWidth="1"/>
    <col min="6" max="6" width="18.88671875" style="26" customWidth="1"/>
    <col min="7" max="8" width="18.88671875" customWidth="1"/>
    <col min="9" max="9" width="14.5546875" style="23" bestFit="1" customWidth="1"/>
  </cols>
  <sheetData>
    <row r="1" spans="1:9" x14ac:dyDescent="0.3">
      <c r="A1" s="2" t="s">
        <v>0</v>
      </c>
      <c r="B1" s="2" t="s">
        <v>1</v>
      </c>
      <c r="C1" s="2" t="s">
        <v>2</v>
      </c>
      <c r="D1" s="2" t="s">
        <v>3</v>
      </c>
      <c r="E1" s="2" t="s">
        <v>4</v>
      </c>
      <c r="F1" s="24" t="s">
        <v>5</v>
      </c>
      <c r="G1" s="2" t="s">
        <v>6</v>
      </c>
      <c r="H1" s="2" t="s">
        <v>7</v>
      </c>
      <c r="I1" s="19" t="s">
        <v>488</v>
      </c>
    </row>
    <row r="2" spans="1:9" x14ac:dyDescent="0.3">
      <c r="A2" s="3">
        <v>45821</v>
      </c>
      <c r="B2" s="1" t="s">
        <v>8</v>
      </c>
      <c r="C2" s="1" t="s">
        <v>119</v>
      </c>
      <c r="D2" s="1" t="s">
        <v>120</v>
      </c>
      <c r="E2" s="1">
        <v>8</v>
      </c>
      <c r="F2" s="25">
        <v>250000</v>
      </c>
      <c r="G2" s="1" t="s">
        <v>179</v>
      </c>
      <c r="H2" s="1" t="s">
        <v>481</v>
      </c>
      <c r="I2" s="20">
        <v>2000000</v>
      </c>
    </row>
    <row r="3" spans="1:9" x14ac:dyDescent="0.3">
      <c r="A3" s="3">
        <v>45755</v>
      </c>
      <c r="B3" s="1" t="s">
        <v>99</v>
      </c>
      <c r="C3" s="1" t="s">
        <v>473</v>
      </c>
      <c r="D3" s="1" t="s">
        <v>165</v>
      </c>
      <c r="E3" s="1">
        <v>6</v>
      </c>
      <c r="F3" s="25">
        <v>350000</v>
      </c>
      <c r="G3" s="1" t="s">
        <v>478</v>
      </c>
      <c r="H3" s="1" t="s">
        <v>17</v>
      </c>
      <c r="I3" s="21">
        <v>2100000</v>
      </c>
    </row>
    <row r="4" spans="1:9" x14ac:dyDescent="0.3">
      <c r="A4" s="3">
        <v>45686</v>
      </c>
      <c r="B4" s="1" t="s">
        <v>71</v>
      </c>
      <c r="C4" s="1" t="s">
        <v>474</v>
      </c>
      <c r="D4" s="1" t="s">
        <v>20</v>
      </c>
      <c r="E4" s="1">
        <v>14</v>
      </c>
      <c r="F4" s="25">
        <v>180000</v>
      </c>
      <c r="G4" s="1" t="s">
        <v>319</v>
      </c>
      <c r="H4" s="1" t="s">
        <v>482</v>
      </c>
      <c r="I4" s="21">
        <v>2520000</v>
      </c>
    </row>
    <row r="5" spans="1:9" x14ac:dyDescent="0.3">
      <c r="A5" s="3">
        <v>45794</v>
      </c>
      <c r="B5" s="1" t="s">
        <v>8</v>
      </c>
      <c r="C5" s="1" t="s">
        <v>475</v>
      </c>
      <c r="D5" s="1" t="s">
        <v>477</v>
      </c>
      <c r="E5" s="1">
        <v>18</v>
      </c>
      <c r="F5" s="25">
        <v>65000</v>
      </c>
      <c r="G5" s="1" t="s">
        <v>478</v>
      </c>
      <c r="H5" s="1" t="s">
        <v>483</v>
      </c>
      <c r="I5" s="21">
        <v>1170000</v>
      </c>
    </row>
    <row r="6" spans="1:9" x14ac:dyDescent="0.3">
      <c r="A6" s="3">
        <v>45685</v>
      </c>
      <c r="B6" s="1" t="s">
        <v>59</v>
      </c>
      <c r="C6" s="1" t="s">
        <v>474</v>
      </c>
      <c r="D6" s="1" t="s">
        <v>20</v>
      </c>
      <c r="E6" s="1">
        <v>5</v>
      </c>
      <c r="F6" s="25">
        <v>180000</v>
      </c>
      <c r="G6" s="1" t="s">
        <v>179</v>
      </c>
      <c r="H6" s="1" t="s">
        <v>341</v>
      </c>
      <c r="I6" s="21">
        <v>900000</v>
      </c>
    </row>
    <row r="7" spans="1:9" x14ac:dyDescent="0.3">
      <c r="A7" s="3">
        <v>45803</v>
      </c>
      <c r="B7" s="1" t="s">
        <v>99</v>
      </c>
      <c r="C7" s="1" t="s">
        <v>474</v>
      </c>
      <c r="D7" s="1" t="s">
        <v>20</v>
      </c>
      <c r="E7" s="1">
        <v>19</v>
      </c>
      <c r="F7" s="25">
        <v>180000</v>
      </c>
      <c r="G7" s="1" t="s">
        <v>478</v>
      </c>
      <c r="H7" s="1" t="s">
        <v>17</v>
      </c>
      <c r="I7" s="21">
        <v>3420000</v>
      </c>
    </row>
    <row r="8" spans="1:9" x14ac:dyDescent="0.3">
      <c r="A8" s="3">
        <v>45783</v>
      </c>
      <c r="B8" s="1" t="s">
        <v>59</v>
      </c>
      <c r="C8" s="1" t="s">
        <v>473</v>
      </c>
      <c r="D8" s="1" t="s">
        <v>165</v>
      </c>
      <c r="E8" s="1">
        <v>3</v>
      </c>
      <c r="F8" s="25">
        <v>350000</v>
      </c>
      <c r="G8" s="1" t="s">
        <v>74</v>
      </c>
      <c r="H8" s="1" t="s">
        <v>341</v>
      </c>
      <c r="I8" s="21">
        <v>1050000</v>
      </c>
    </row>
    <row r="9" spans="1:9" x14ac:dyDescent="0.3">
      <c r="A9" s="3">
        <v>45698</v>
      </c>
      <c r="B9" s="1" t="s">
        <v>59</v>
      </c>
      <c r="C9" s="1" t="s">
        <v>475</v>
      </c>
      <c r="D9" s="1" t="s">
        <v>477</v>
      </c>
      <c r="E9" s="1">
        <v>2</v>
      </c>
      <c r="F9" s="25">
        <v>65000</v>
      </c>
      <c r="G9" s="1" t="s">
        <v>179</v>
      </c>
      <c r="H9" s="1" t="s">
        <v>17</v>
      </c>
      <c r="I9" s="21">
        <v>130000</v>
      </c>
    </row>
    <row r="10" spans="1:9" x14ac:dyDescent="0.3">
      <c r="A10" s="3">
        <v>45689</v>
      </c>
      <c r="B10" s="1" t="s">
        <v>99</v>
      </c>
      <c r="C10" s="1" t="s">
        <v>476</v>
      </c>
      <c r="D10" s="1" t="s">
        <v>110</v>
      </c>
      <c r="E10" s="1">
        <v>14</v>
      </c>
      <c r="F10" s="25">
        <v>175000</v>
      </c>
      <c r="G10" s="1" t="s">
        <v>319</v>
      </c>
      <c r="H10" s="1" t="s">
        <v>481</v>
      </c>
      <c r="I10" s="21">
        <v>2450000</v>
      </c>
    </row>
    <row r="11" spans="1:9" x14ac:dyDescent="0.3">
      <c r="A11" s="3">
        <v>45836</v>
      </c>
      <c r="B11" s="1" t="s">
        <v>59</v>
      </c>
      <c r="C11" s="1" t="s">
        <v>105</v>
      </c>
      <c r="D11" s="1" t="s">
        <v>20</v>
      </c>
      <c r="E11" s="1">
        <v>4</v>
      </c>
      <c r="F11" s="25">
        <v>150000</v>
      </c>
      <c r="G11" s="1" t="s">
        <v>179</v>
      </c>
      <c r="H11" s="1" t="s">
        <v>63</v>
      </c>
      <c r="I11" s="21">
        <v>600000</v>
      </c>
    </row>
    <row r="12" spans="1:9" x14ac:dyDescent="0.3">
      <c r="A12" s="3">
        <v>45765</v>
      </c>
      <c r="B12" s="1" t="s">
        <v>8</v>
      </c>
      <c r="C12" s="1" t="s">
        <v>105</v>
      </c>
      <c r="D12" s="1" t="s">
        <v>20</v>
      </c>
      <c r="E12" s="1">
        <v>20</v>
      </c>
      <c r="F12" s="25">
        <v>150000</v>
      </c>
      <c r="G12" s="1" t="s">
        <v>319</v>
      </c>
      <c r="H12" s="1" t="s">
        <v>17</v>
      </c>
      <c r="I12" s="21">
        <v>3000000</v>
      </c>
    </row>
    <row r="13" spans="1:9" x14ac:dyDescent="0.3">
      <c r="A13" s="3">
        <v>45713</v>
      </c>
      <c r="B13" s="1" t="s">
        <v>71</v>
      </c>
      <c r="C13" s="1" t="s">
        <v>472</v>
      </c>
      <c r="D13" s="1" t="s">
        <v>226</v>
      </c>
      <c r="E13" s="1">
        <v>6</v>
      </c>
      <c r="F13" s="25">
        <v>85000</v>
      </c>
      <c r="G13" s="1" t="s">
        <v>74</v>
      </c>
      <c r="H13" s="1" t="s">
        <v>75</v>
      </c>
      <c r="I13" s="21">
        <v>510000</v>
      </c>
    </row>
    <row r="14" spans="1:9" x14ac:dyDescent="0.3">
      <c r="A14" s="3">
        <v>45776</v>
      </c>
      <c r="B14" s="1" t="s">
        <v>59</v>
      </c>
      <c r="C14" s="1" t="s">
        <v>105</v>
      </c>
      <c r="D14" s="1" t="s">
        <v>20</v>
      </c>
      <c r="E14" s="1">
        <v>1</v>
      </c>
      <c r="F14" s="25">
        <v>150000</v>
      </c>
      <c r="G14" s="1" t="s">
        <v>74</v>
      </c>
      <c r="H14" s="1" t="s">
        <v>484</v>
      </c>
      <c r="I14" s="21">
        <v>150000</v>
      </c>
    </row>
    <row r="15" spans="1:9" x14ac:dyDescent="0.3">
      <c r="A15" s="3">
        <v>45690</v>
      </c>
      <c r="B15" s="1" t="s">
        <v>99</v>
      </c>
      <c r="C15" s="1" t="s">
        <v>473</v>
      </c>
      <c r="D15" s="1" t="s">
        <v>165</v>
      </c>
      <c r="E15" s="1">
        <v>18</v>
      </c>
      <c r="F15" s="25">
        <v>350000</v>
      </c>
      <c r="G15" s="1" t="s">
        <v>74</v>
      </c>
      <c r="H15" s="1" t="s">
        <v>485</v>
      </c>
      <c r="I15" s="21">
        <v>6300000</v>
      </c>
    </row>
    <row r="16" spans="1:9" x14ac:dyDescent="0.3">
      <c r="A16" s="3">
        <v>45762</v>
      </c>
      <c r="B16" s="1" t="s">
        <v>8</v>
      </c>
      <c r="C16" s="1" t="s">
        <v>472</v>
      </c>
      <c r="D16" s="1" t="s">
        <v>226</v>
      </c>
      <c r="E16" s="1">
        <v>2</v>
      </c>
      <c r="F16" s="25">
        <v>85000</v>
      </c>
      <c r="G16" s="1" t="s">
        <v>478</v>
      </c>
      <c r="H16" s="1" t="s">
        <v>481</v>
      </c>
      <c r="I16" s="21">
        <v>170000</v>
      </c>
    </row>
    <row r="17" spans="1:9" x14ac:dyDescent="0.3">
      <c r="A17" s="3">
        <v>45820</v>
      </c>
      <c r="B17" s="1" t="s">
        <v>99</v>
      </c>
      <c r="C17" s="1" t="s">
        <v>475</v>
      </c>
      <c r="D17" s="1" t="s">
        <v>477</v>
      </c>
      <c r="E17" s="1">
        <v>11</v>
      </c>
      <c r="F17" s="25">
        <v>65000</v>
      </c>
      <c r="G17" s="1" t="s">
        <v>116</v>
      </c>
      <c r="H17" s="1" t="s">
        <v>486</v>
      </c>
      <c r="I17" s="21">
        <v>715000</v>
      </c>
    </row>
    <row r="18" spans="1:9" x14ac:dyDescent="0.3">
      <c r="A18" s="3">
        <v>45688</v>
      </c>
      <c r="B18" s="1" t="s">
        <v>99</v>
      </c>
      <c r="C18" s="1" t="s">
        <v>476</v>
      </c>
      <c r="D18" s="1" t="s">
        <v>110</v>
      </c>
      <c r="E18" s="1">
        <v>10</v>
      </c>
      <c r="F18" s="25">
        <v>175000</v>
      </c>
      <c r="G18" s="1" t="s">
        <v>319</v>
      </c>
      <c r="H18" s="1" t="s">
        <v>75</v>
      </c>
      <c r="I18" s="21">
        <v>1750000</v>
      </c>
    </row>
    <row r="19" spans="1:9" x14ac:dyDescent="0.3">
      <c r="A19" s="3">
        <v>45690</v>
      </c>
      <c r="B19" s="1" t="s">
        <v>59</v>
      </c>
      <c r="C19" s="1" t="s">
        <v>105</v>
      </c>
      <c r="D19" s="1" t="s">
        <v>20</v>
      </c>
      <c r="E19" s="1">
        <v>4</v>
      </c>
      <c r="F19" s="25">
        <v>150000</v>
      </c>
      <c r="G19" s="1" t="s">
        <v>437</v>
      </c>
      <c r="H19" s="1" t="s">
        <v>483</v>
      </c>
      <c r="I19" s="21">
        <v>600000</v>
      </c>
    </row>
    <row r="20" spans="1:9" x14ac:dyDescent="0.3">
      <c r="A20" s="3">
        <v>45802</v>
      </c>
      <c r="B20" s="1" t="s">
        <v>59</v>
      </c>
      <c r="C20" s="1" t="s">
        <v>476</v>
      </c>
      <c r="D20" s="1" t="s">
        <v>110</v>
      </c>
      <c r="E20" s="1">
        <v>3</v>
      </c>
      <c r="F20" s="25">
        <v>175000</v>
      </c>
      <c r="G20" s="1" t="s">
        <v>479</v>
      </c>
      <c r="H20" s="1" t="s">
        <v>260</v>
      </c>
      <c r="I20" s="21">
        <v>525000</v>
      </c>
    </row>
    <row r="21" spans="1:9" x14ac:dyDescent="0.3">
      <c r="A21" s="3">
        <v>45714</v>
      </c>
      <c r="B21" s="1" t="s">
        <v>71</v>
      </c>
      <c r="C21" s="1" t="s">
        <v>476</v>
      </c>
      <c r="D21" s="1" t="s">
        <v>110</v>
      </c>
      <c r="E21" s="1">
        <v>5</v>
      </c>
      <c r="F21" s="25">
        <v>175000</v>
      </c>
      <c r="G21" s="1" t="s">
        <v>116</v>
      </c>
      <c r="H21" s="1" t="s">
        <v>260</v>
      </c>
      <c r="I21" s="21">
        <v>875000</v>
      </c>
    </row>
    <row r="22" spans="1:9" x14ac:dyDescent="0.3">
      <c r="A22" s="3">
        <v>45753</v>
      </c>
      <c r="B22" s="1" t="s">
        <v>99</v>
      </c>
      <c r="C22" s="1" t="s">
        <v>119</v>
      </c>
      <c r="D22" s="1" t="s">
        <v>120</v>
      </c>
      <c r="E22" s="1">
        <v>20</v>
      </c>
      <c r="F22" s="25">
        <v>250000</v>
      </c>
      <c r="G22" s="1" t="s">
        <v>479</v>
      </c>
      <c r="H22" s="1" t="s">
        <v>17</v>
      </c>
      <c r="I22" s="21">
        <v>5000000</v>
      </c>
    </row>
    <row r="23" spans="1:9" x14ac:dyDescent="0.3">
      <c r="A23" s="3">
        <v>45712</v>
      </c>
      <c r="B23" s="1" t="s">
        <v>99</v>
      </c>
      <c r="C23" s="1" t="s">
        <v>476</v>
      </c>
      <c r="D23" s="1" t="s">
        <v>110</v>
      </c>
      <c r="E23" s="1">
        <v>2</v>
      </c>
      <c r="F23" s="25">
        <v>175000</v>
      </c>
      <c r="G23" s="1" t="s">
        <v>179</v>
      </c>
      <c r="H23" s="1" t="s">
        <v>485</v>
      </c>
      <c r="I23" s="21">
        <v>350000</v>
      </c>
    </row>
    <row r="24" spans="1:9" x14ac:dyDescent="0.3">
      <c r="A24" s="3">
        <v>45740</v>
      </c>
      <c r="B24" s="1" t="s">
        <v>99</v>
      </c>
      <c r="C24" s="1" t="s">
        <v>105</v>
      </c>
      <c r="D24" s="1" t="s">
        <v>20</v>
      </c>
      <c r="E24" s="1">
        <v>20</v>
      </c>
      <c r="F24" s="25">
        <v>150000</v>
      </c>
      <c r="G24" s="1" t="s">
        <v>319</v>
      </c>
      <c r="H24" s="1" t="s">
        <v>131</v>
      </c>
      <c r="I24" s="21">
        <v>3000000</v>
      </c>
    </row>
    <row r="25" spans="1:9" x14ac:dyDescent="0.3">
      <c r="A25" s="3">
        <v>45805</v>
      </c>
      <c r="B25" s="1" t="s">
        <v>71</v>
      </c>
      <c r="C25" s="1" t="s">
        <v>105</v>
      </c>
      <c r="D25" s="1" t="s">
        <v>20</v>
      </c>
      <c r="E25" s="1">
        <v>8</v>
      </c>
      <c r="F25" s="25">
        <v>150000</v>
      </c>
      <c r="G25" s="1" t="s">
        <v>478</v>
      </c>
      <c r="H25" s="1" t="s">
        <v>75</v>
      </c>
      <c r="I25" s="21">
        <v>1200000</v>
      </c>
    </row>
    <row r="26" spans="1:9" x14ac:dyDescent="0.3">
      <c r="A26" s="3">
        <v>45789</v>
      </c>
      <c r="B26" s="1" t="s">
        <v>59</v>
      </c>
      <c r="C26" s="1" t="s">
        <v>119</v>
      </c>
      <c r="D26" s="1" t="s">
        <v>120</v>
      </c>
      <c r="E26" s="1">
        <v>19</v>
      </c>
      <c r="F26" s="25">
        <v>250000</v>
      </c>
      <c r="G26" s="1" t="s">
        <v>479</v>
      </c>
      <c r="H26" s="1" t="s">
        <v>260</v>
      </c>
      <c r="I26" s="21">
        <v>4750000</v>
      </c>
    </row>
    <row r="27" spans="1:9" x14ac:dyDescent="0.3">
      <c r="A27" s="3">
        <v>45788</v>
      </c>
      <c r="B27" s="1" t="s">
        <v>99</v>
      </c>
      <c r="C27" s="1" t="s">
        <v>476</v>
      </c>
      <c r="D27" s="1" t="s">
        <v>110</v>
      </c>
      <c r="E27" s="1">
        <v>12</v>
      </c>
      <c r="F27" s="25">
        <v>175000</v>
      </c>
      <c r="G27" s="1" t="s">
        <v>116</v>
      </c>
      <c r="H27" s="1" t="s">
        <v>75</v>
      </c>
      <c r="I27" s="21">
        <v>2100000</v>
      </c>
    </row>
    <row r="28" spans="1:9" x14ac:dyDescent="0.3">
      <c r="A28" s="3">
        <v>45673</v>
      </c>
      <c r="B28" s="1" t="s">
        <v>71</v>
      </c>
      <c r="C28" s="1" t="s">
        <v>472</v>
      </c>
      <c r="D28" s="1" t="s">
        <v>226</v>
      </c>
      <c r="E28" s="1">
        <v>11</v>
      </c>
      <c r="F28" s="25">
        <v>85000</v>
      </c>
      <c r="G28" s="1" t="s">
        <v>479</v>
      </c>
      <c r="H28" s="1" t="s">
        <v>260</v>
      </c>
      <c r="I28" s="21">
        <v>935000</v>
      </c>
    </row>
    <row r="29" spans="1:9" x14ac:dyDescent="0.3">
      <c r="A29" s="3">
        <v>45787</v>
      </c>
      <c r="B29" s="1" t="s">
        <v>71</v>
      </c>
      <c r="C29" s="1" t="s">
        <v>475</v>
      </c>
      <c r="D29" s="1" t="s">
        <v>477</v>
      </c>
      <c r="E29" s="1">
        <v>17</v>
      </c>
      <c r="F29" s="25">
        <v>65000</v>
      </c>
      <c r="G29" s="1" t="s">
        <v>116</v>
      </c>
      <c r="H29" s="1" t="s">
        <v>484</v>
      </c>
      <c r="I29" s="21">
        <v>1105000</v>
      </c>
    </row>
    <row r="30" spans="1:9" x14ac:dyDescent="0.3">
      <c r="A30" s="3">
        <v>45689</v>
      </c>
      <c r="B30" s="1" t="s">
        <v>8</v>
      </c>
      <c r="C30" s="1" t="s">
        <v>473</v>
      </c>
      <c r="D30" s="1" t="s">
        <v>165</v>
      </c>
      <c r="E30" s="1">
        <v>15</v>
      </c>
      <c r="F30" s="25">
        <v>350000</v>
      </c>
      <c r="G30" s="1" t="s">
        <v>471</v>
      </c>
      <c r="H30" s="1" t="s">
        <v>482</v>
      </c>
      <c r="I30" s="21">
        <v>5250000</v>
      </c>
    </row>
    <row r="31" spans="1:9" x14ac:dyDescent="0.3">
      <c r="A31" s="3">
        <v>45694</v>
      </c>
      <c r="B31" s="1" t="s">
        <v>59</v>
      </c>
      <c r="C31" s="1" t="s">
        <v>473</v>
      </c>
      <c r="D31" s="1" t="s">
        <v>165</v>
      </c>
      <c r="E31" s="1">
        <v>8</v>
      </c>
      <c r="F31" s="25">
        <v>350000</v>
      </c>
      <c r="G31" s="1" t="s">
        <v>179</v>
      </c>
      <c r="H31" s="1" t="s">
        <v>260</v>
      </c>
      <c r="I31" s="21">
        <v>2800000</v>
      </c>
    </row>
    <row r="32" spans="1:9" x14ac:dyDescent="0.3">
      <c r="A32" s="3">
        <v>45825</v>
      </c>
      <c r="B32" s="1" t="s">
        <v>59</v>
      </c>
      <c r="C32" s="1" t="s">
        <v>473</v>
      </c>
      <c r="D32" s="1" t="s">
        <v>165</v>
      </c>
      <c r="E32" s="1">
        <v>14</v>
      </c>
      <c r="F32" s="25">
        <v>350000</v>
      </c>
      <c r="G32" s="1" t="s">
        <v>116</v>
      </c>
      <c r="H32" s="1" t="s">
        <v>487</v>
      </c>
      <c r="I32" s="21">
        <v>4900000</v>
      </c>
    </row>
    <row r="33" spans="1:9" x14ac:dyDescent="0.3">
      <c r="A33" s="3">
        <v>45666</v>
      </c>
      <c r="B33" s="1" t="s">
        <v>99</v>
      </c>
      <c r="C33" s="1" t="s">
        <v>105</v>
      </c>
      <c r="D33" s="1" t="s">
        <v>20</v>
      </c>
      <c r="E33" s="1">
        <v>12</v>
      </c>
      <c r="F33" s="25">
        <v>150000</v>
      </c>
      <c r="G33" s="1" t="s">
        <v>319</v>
      </c>
      <c r="H33" s="1" t="s">
        <v>63</v>
      </c>
      <c r="I33" s="21">
        <v>1800000</v>
      </c>
    </row>
    <row r="34" spans="1:9" x14ac:dyDescent="0.3">
      <c r="A34" s="3">
        <v>45837</v>
      </c>
      <c r="B34" s="1" t="s">
        <v>71</v>
      </c>
      <c r="C34" s="1" t="s">
        <v>476</v>
      </c>
      <c r="D34" s="1" t="s">
        <v>110</v>
      </c>
      <c r="E34" s="1">
        <v>8</v>
      </c>
      <c r="F34" s="25">
        <v>175000</v>
      </c>
      <c r="G34" s="1" t="s">
        <v>179</v>
      </c>
      <c r="H34" s="1" t="s">
        <v>63</v>
      </c>
      <c r="I34" s="21">
        <v>1400000</v>
      </c>
    </row>
    <row r="35" spans="1:9" x14ac:dyDescent="0.3">
      <c r="A35" s="3">
        <v>45735</v>
      </c>
      <c r="B35" s="1" t="s">
        <v>8</v>
      </c>
      <c r="C35" s="1" t="s">
        <v>105</v>
      </c>
      <c r="D35" s="1" t="s">
        <v>20</v>
      </c>
      <c r="E35" s="1">
        <v>6</v>
      </c>
      <c r="F35" s="25">
        <v>150000</v>
      </c>
      <c r="G35" s="1" t="s">
        <v>179</v>
      </c>
      <c r="H35" s="1" t="s">
        <v>260</v>
      </c>
      <c r="I35" s="21">
        <v>900000</v>
      </c>
    </row>
    <row r="36" spans="1:9" x14ac:dyDescent="0.3">
      <c r="A36" s="3">
        <v>45694</v>
      </c>
      <c r="B36" s="1" t="s">
        <v>59</v>
      </c>
      <c r="C36" s="1" t="s">
        <v>119</v>
      </c>
      <c r="D36" s="1" t="s">
        <v>120</v>
      </c>
      <c r="E36" s="1">
        <v>20</v>
      </c>
      <c r="F36" s="25">
        <v>250000</v>
      </c>
      <c r="G36" s="1" t="s">
        <v>179</v>
      </c>
      <c r="H36" s="1" t="s">
        <v>75</v>
      </c>
      <c r="I36" s="21">
        <v>5000000</v>
      </c>
    </row>
    <row r="37" spans="1:9" x14ac:dyDescent="0.3">
      <c r="A37" s="3">
        <v>45753</v>
      </c>
      <c r="B37" s="1" t="s">
        <v>8</v>
      </c>
      <c r="C37" s="1" t="s">
        <v>475</v>
      </c>
      <c r="D37" s="1" t="s">
        <v>477</v>
      </c>
      <c r="E37" s="1">
        <v>12</v>
      </c>
      <c r="F37" s="25">
        <v>65000</v>
      </c>
      <c r="G37" s="1" t="s">
        <v>179</v>
      </c>
      <c r="H37" s="1" t="s">
        <v>131</v>
      </c>
      <c r="I37" s="21">
        <v>780000</v>
      </c>
    </row>
    <row r="38" spans="1:9" x14ac:dyDescent="0.3">
      <c r="A38" s="3">
        <v>45695</v>
      </c>
      <c r="B38" s="1" t="s">
        <v>8</v>
      </c>
      <c r="C38" s="1" t="s">
        <v>475</v>
      </c>
      <c r="D38" s="1" t="s">
        <v>477</v>
      </c>
      <c r="E38" s="1">
        <v>4</v>
      </c>
      <c r="F38" s="25">
        <v>65000</v>
      </c>
      <c r="G38" s="1" t="s">
        <v>437</v>
      </c>
      <c r="H38" s="1" t="s">
        <v>487</v>
      </c>
      <c r="I38" s="21">
        <v>260000</v>
      </c>
    </row>
    <row r="39" spans="1:9" x14ac:dyDescent="0.3">
      <c r="A39" s="3">
        <v>45723</v>
      </c>
      <c r="B39" s="1" t="s">
        <v>99</v>
      </c>
      <c r="C39" s="1" t="s">
        <v>476</v>
      </c>
      <c r="D39" s="1" t="s">
        <v>110</v>
      </c>
      <c r="E39" s="1">
        <v>18</v>
      </c>
      <c r="F39" s="25">
        <v>175000</v>
      </c>
      <c r="G39" s="1" t="s">
        <v>479</v>
      </c>
      <c r="H39" s="1" t="s">
        <v>481</v>
      </c>
      <c r="I39" s="21">
        <v>3150000</v>
      </c>
    </row>
    <row r="40" spans="1:9" x14ac:dyDescent="0.3">
      <c r="A40" s="3">
        <v>45784</v>
      </c>
      <c r="B40" s="1" t="s">
        <v>71</v>
      </c>
      <c r="C40" s="1" t="s">
        <v>474</v>
      </c>
      <c r="D40" s="1" t="s">
        <v>20</v>
      </c>
      <c r="E40" s="1">
        <v>10</v>
      </c>
      <c r="F40" s="25">
        <v>180000</v>
      </c>
      <c r="G40" s="1" t="s">
        <v>437</v>
      </c>
      <c r="H40" s="1" t="s">
        <v>341</v>
      </c>
      <c r="I40" s="21">
        <v>1800000</v>
      </c>
    </row>
    <row r="41" spans="1:9" x14ac:dyDescent="0.3">
      <c r="A41" s="3">
        <v>45838</v>
      </c>
      <c r="B41" s="1" t="s">
        <v>99</v>
      </c>
      <c r="C41" s="1" t="s">
        <v>475</v>
      </c>
      <c r="D41" s="1" t="s">
        <v>477</v>
      </c>
      <c r="E41" s="1">
        <v>10</v>
      </c>
      <c r="F41" s="25">
        <v>65000</v>
      </c>
      <c r="G41" s="1" t="s">
        <v>470</v>
      </c>
      <c r="H41" s="1" t="s">
        <v>17</v>
      </c>
      <c r="I41" s="21">
        <v>650000</v>
      </c>
    </row>
    <row r="42" spans="1:9" x14ac:dyDescent="0.3">
      <c r="A42" s="3">
        <v>45713</v>
      </c>
      <c r="B42" s="1" t="s">
        <v>71</v>
      </c>
      <c r="C42" s="1" t="s">
        <v>105</v>
      </c>
      <c r="D42" s="1" t="s">
        <v>20</v>
      </c>
      <c r="E42" s="1">
        <v>3</v>
      </c>
      <c r="F42" s="25">
        <v>150000</v>
      </c>
      <c r="G42" s="1" t="s">
        <v>437</v>
      </c>
      <c r="H42" s="1" t="s">
        <v>487</v>
      </c>
      <c r="I42" s="21">
        <v>450000</v>
      </c>
    </row>
    <row r="43" spans="1:9" x14ac:dyDescent="0.3">
      <c r="A43" s="3">
        <v>45670</v>
      </c>
      <c r="B43" s="1" t="s">
        <v>8</v>
      </c>
      <c r="C43" s="1" t="s">
        <v>474</v>
      </c>
      <c r="D43" s="1" t="s">
        <v>20</v>
      </c>
      <c r="E43" s="1">
        <v>8</v>
      </c>
      <c r="F43" s="25">
        <v>180000</v>
      </c>
      <c r="G43" s="1" t="s">
        <v>74</v>
      </c>
      <c r="H43" s="1" t="s">
        <v>75</v>
      </c>
      <c r="I43" s="21">
        <v>1440000</v>
      </c>
    </row>
    <row r="44" spans="1:9" x14ac:dyDescent="0.3">
      <c r="A44" s="3">
        <v>45823</v>
      </c>
      <c r="B44" s="1" t="s">
        <v>8</v>
      </c>
      <c r="C44" s="1" t="s">
        <v>119</v>
      </c>
      <c r="D44" s="1" t="s">
        <v>120</v>
      </c>
      <c r="E44" s="1">
        <v>3</v>
      </c>
      <c r="F44" s="25">
        <v>250000</v>
      </c>
      <c r="G44" s="1" t="s">
        <v>437</v>
      </c>
      <c r="H44" s="1" t="s">
        <v>341</v>
      </c>
      <c r="I44" s="21">
        <v>750000</v>
      </c>
    </row>
    <row r="45" spans="1:9" x14ac:dyDescent="0.3">
      <c r="A45" s="3">
        <v>45716</v>
      </c>
      <c r="B45" s="1" t="s">
        <v>99</v>
      </c>
      <c r="C45" s="1" t="s">
        <v>472</v>
      </c>
      <c r="D45" s="1" t="s">
        <v>226</v>
      </c>
      <c r="E45" s="1">
        <v>18</v>
      </c>
      <c r="F45" s="25">
        <v>85000</v>
      </c>
      <c r="G45" s="1" t="s">
        <v>478</v>
      </c>
      <c r="H45" s="1" t="s">
        <v>63</v>
      </c>
      <c r="I45" s="21">
        <v>1530000</v>
      </c>
    </row>
    <row r="46" spans="1:9" x14ac:dyDescent="0.3">
      <c r="A46" s="3">
        <v>45707</v>
      </c>
      <c r="B46" s="1" t="s">
        <v>59</v>
      </c>
      <c r="C46" s="1" t="s">
        <v>105</v>
      </c>
      <c r="D46" s="1" t="s">
        <v>20</v>
      </c>
      <c r="E46" s="1">
        <v>9</v>
      </c>
      <c r="F46" s="25">
        <v>150000</v>
      </c>
      <c r="G46" s="1" t="s">
        <v>437</v>
      </c>
      <c r="H46" s="1" t="s">
        <v>484</v>
      </c>
      <c r="I46" s="21">
        <v>1350000</v>
      </c>
    </row>
    <row r="47" spans="1:9" x14ac:dyDescent="0.3">
      <c r="A47" s="3">
        <v>45719</v>
      </c>
      <c r="B47" s="1" t="s">
        <v>99</v>
      </c>
      <c r="C47" s="1" t="s">
        <v>105</v>
      </c>
      <c r="D47" s="1" t="s">
        <v>20</v>
      </c>
      <c r="E47" s="1">
        <v>18</v>
      </c>
      <c r="F47" s="25">
        <v>150000</v>
      </c>
      <c r="G47" s="1" t="s">
        <v>319</v>
      </c>
      <c r="H47" s="1" t="s">
        <v>63</v>
      </c>
      <c r="I47" s="21">
        <v>2700000</v>
      </c>
    </row>
    <row r="48" spans="1:9" x14ac:dyDescent="0.3">
      <c r="A48" s="3">
        <v>45748</v>
      </c>
      <c r="B48" s="1" t="s">
        <v>59</v>
      </c>
      <c r="C48" s="1" t="s">
        <v>105</v>
      </c>
      <c r="D48" s="1" t="s">
        <v>20</v>
      </c>
      <c r="E48" s="1">
        <v>11</v>
      </c>
      <c r="F48" s="25">
        <v>150000</v>
      </c>
      <c r="G48" s="1" t="s">
        <v>437</v>
      </c>
      <c r="H48" s="1" t="s">
        <v>341</v>
      </c>
      <c r="I48" s="21">
        <v>1650000</v>
      </c>
    </row>
    <row r="49" spans="1:9" x14ac:dyDescent="0.3">
      <c r="A49" s="3">
        <v>45754</v>
      </c>
      <c r="B49" s="1" t="s">
        <v>8</v>
      </c>
      <c r="C49" s="1" t="s">
        <v>473</v>
      </c>
      <c r="D49" s="1" t="s">
        <v>165</v>
      </c>
      <c r="E49" s="1">
        <v>4</v>
      </c>
      <c r="F49" s="25">
        <v>350000</v>
      </c>
      <c r="G49" s="1" t="s">
        <v>479</v>
      </c>
      <c r="H49" s="1" t="s">
        <v>483</v>
      </c>
      <c r="I49" s="21">
        <v>1400000</v>
      </c>
    </row>
    <row r="50" spans="1:9" x14ac:dyDescent="0.3">
      <c r="A50" s="3">
        <v>45714</v>
      </c>
      <c r="B50" s="1" t="s">
        <v>8</v>
      </c>
      <c r="C50" s="1" t="s">
        <v>105</v>
      </c>
      <c r="D50" s="1" t="s">
        <v>20</v>
      </c>
      <c r="E50" s="1">
        <v>19</v>
      </c>
      <c r="F50" s="25">
        <v>150000</v>
      </c>
      <c r="G50" s="1" t="s">
        <v>469</v>
      </c>
      <c r="H50" s="1" t="s">
        <v>484</v>
      </c>
      <c r="I50" s="21">
        <v>2850000</v>
      </c>
    </row>
    <row r="51" spans="1:9" x14ac:dyDescent="0.3">
      <c r="A51" s="3">
        <v>45809</v>
      </c>
      <c r="B51" s="1" t="s">
        <v>99</v>
      </c>
      <c r="C51" s="1" t="s">
        <v>472</v>
      </c>
      <c r="D51" s="1" t="s">
        <v>226</v>
      </c>
      <c r="E51" s="1">
        <v>7</v>
      </c>
      <c r="F51" s="25">
        <v>85000</v>
      </c>
      <c r="G51" s="1" t="s">
        <v>74</v>
      </c>
      <c r="H51" s="1" t="s">
        <v>481</v>
      </c>
      <c r="I51" s="21">
        <v>595000</v>
      </c>
    </row>
    <row r="52" spans="1:9" x14ac:dyDescent="0.3">
      <c r="A52" s="3">
        <v>45671</v>
      </c>
      <c r="B52" s="1" t="s">
        <v>59</v>
      </c>
      <c r="C52" s="1" t="s">
        <v>475</v>
      </c>
      <c r="D52" s="1" t="s">
        <v>477</v>
      </c>
      <c r="E52" s="1">
        <v>13</v>
      </c>
      <c r="F52" s="25">
        <v>65000</v>
      </c>
      <c r="G52" s="1" t="s">
        <v>319</v>
      </c>
      <c r="H52" s="1" t="s">
        <v>260</v>
      </c>
      <c r="I52" s="21">
        <v>845000</v>
      </c>
    </row>
    <row r="53" spans="1:9" x14ac:dyDescent="0.3">
      <c r="A53" s="3">
        <v>45710</v>
      </c>
      <c r="B53" s="1" t="s">
        <v>99</v>
      </c>
      <c r="C53" s="1" t="s">
        <v>475</v>
      </c>
      <c r="D53" s="1" t="s">
        <v>477</v>
      </c>
      <c r="E53" s="1">
        <v>18</v>
      </c>
      <c r="F53" s="25">
        <v>65000</v>
      </c>
      <c r="G53" s="1" t="s">
        <v>479</v>
      </c>
      <c r="H53" s="1" t="s">
        <v>483</v>
      </c>
      <c r="I53" s="21">
        <v>1170000</v>
      </c>
    </row>
    <row r="54" spans="1:9" x14ac:dyDescent="0.3">
      <c r="A54" s="3">
        <v>45740</v>
      </c>
      <c r="B54" s="1" t="s">
        <v>59</v>
      </c>
      <c r="C54" s="1" t="s">
        <v>475</v>
      </c>
      <c r="D54" s="1" t="s">
        <v>477</v>
      </c>
      <c r="E54" s="1">
        <v>5</v>
      </c>
      <c r="F54" s="25">
        <v>65000</v>
      </c>
      <c r="G54" s="1" t="s">
        <v>74</v>
      </c>
      <c r="H54" s="1" t="s">
        <v>484</v>
      </c>
      <c r="I54" s="21">
        <v>325000</v>
      </c>
    </row>
    <row r="55" spans="1:9" x14ac:dyDescent="0.3">
      <c r="A55" s="3">
        <v>45684</v>
      </c>
      <c r="B55" s="1" t="s">
        <v>8</v>
      </c>
      <c r="C55" s="1" t="s">
        <v>473</v>
      </c>
      <c r="D55" s="1" t="s">
        <v>165</v>
      </c>
      <c r="E55" s="1">
        <v>13</v>
      </c>
      <c r="F55" s="25">
        <v>350000</v>
      </c>
      <c r="G55" s="1" t="s">
        <v>116</v>
      </c>
      <c r="H55" s="1" t="s">
        <v>260</v>
      </c>
      <c r="I55" s="21">
        <v>4550000</v>
      </c>
    </row>
    <row r="56" spans="1:9" x14ac:dyDescent="0.3">
      <c r="A56" s="3">
        <v>45661</v>
      </c>
      <c r="B56" s="1" t="s">
        <v>59</v>
      </c>
      <c r="C56" s="1" t="s">
        <v>473</v>
      </c>
      <c r="D56" s="1" t="s">
        <v>165</v>
      </c>
      <c r="E56" s="1">
        <v>19</v>
      </c>
      <c r="F56" s="25">
        <v>350000</v>
      </c>
      <c r="G56" s="1" t="s">
        <v>478</v>
      </c>
      <c r="H56" s="1" t="s">
        <v>483</v>
      </c>
      <c r="I56" s="21">
        <v>6650000</v>
      </c>
    </row>
    <row r="57" spans="1:9" x14ac:dyDescent="0.3">
      <c r="A57" s="3">
        <v>45724</v>
      </c>
      <c r="B57" s="1" t="s">
        <v>71</v>
      </c>
      <c r="C57" s="1" t="s">
        <v>474</v>
      </c>
      <c r="D57" s="1" t="s">
        <v>20</v>
      </c>
      <c r="E57" s="1">
        <v>9</v>
      </c>
      <c r="F57" s="25">
        <v>180000</v>
      </c>
      <c r="G57" s="1" t="s">
        <v>74</v>
      </c>
      <c r="H57" s="1" t="s">
        <v>480</v>
      </c>
      <c r="I57" s="21">
        <v>1620000</v>
      </c>
    </row>
    <row r="58" spans="1:9" x14ac:dyDescent="0.3">
      <c r="A58" s="3">
        <v>45680</v>
      </c>
      <c r="B58" s="1" t="s">
        <v>99</v>
      </c>
      <c r="C58" s="1" t="s">
        <v>105</v>
      </c>
      <c r="D58" s="1" t="s">
        <v>20</v>
      </c>
      <c r="E58" s="1">
        <v>10</v>
      </c>
      <c r="F58" s="25">
        <v>150000</v>
      </c>
      <c r="G58" s="1" t="s">
        <v>116</v>
      </c>
      <c r="H58" s="1" t="s">
        <v>131</v>
      </c>
      <c r="I58" s="21">
        <v>1500000</v>
      </c>
    </row>
    <row r="59" spans="1:9" x14ac:dyDescent="0.3">
      <c r="A59" s="3">
        <v>45673</v>
      </c>
      <c r="B59" s="1" t="s">
        <v>99</v>
      </c>
      <c r="C59" s="1" t="s">
        <v>472</v>
      </c>
      <c r="D59" s="1" t="s">
        <v>226</v>
      </c>
      <c r="E59" s="1">
        <v>10</v>
      </c>
      <c r="F59" s="25">
        <v>85000</v>
      </c>
      <c r="G59" s="1" t="s">
        <v>74</v>
      </c>
      <c r="H59" s="1" t="s">
        <v>484</v>
      </c>
      <c r="I59" s="21">
        <v>850000</v>
      </c>
    </row>
    <row r="60" spans="1:9" x14ac:dyDescent="0.3">
      <c r="A60" s="3">
        <v>45693</v>
      </c>
      <c r="B60" s="1" t="s">
        <v>8</v>
      </c>
      <c r="C60" s="1" t="s">
        <v>119</v>
      </c>
      <c r="D60" s="1" t="s">
        <v>120</v>
      </c>
      <c r="E60" s="1">
        <v>5</v>
      </c>
      <c r="F60" s="25">
        <v>250000</v>
      </c>
      <c r="G60" s="1" t="s">
        <v>74</v>
      </c>
      <c r="H60" s="1" t="s">
        <v>482</v>
      </c>
      <c r="I60" s="21">
        <v>1250000</v>
      </c>
    </row>
    <row r="61" spans="1:9" x14ac:dyDescent="0.3">
      <c r="A61" s="3">
        <v>45802</v>
      </c>
      <c r="B61" s="1" t="s">
        <v>99</v>
      </c>
      <c r="C61" s="1" t="s">
        <v>105</v>
      </c>
      <c r="D61" s="1" t="s">
        <v>20</v>
      </c>
      <c r="E61" s="1">
        <v>1</v>
      </c>
      <c r="F61" s="25">
        <v>150000</v>
      </c>
      <c r="G61" s="1" t="s">
        <v>479</v>
      </c>
      <c r="H61" s="1" t="s">
        <v>17</v>
      </c>
      <c r="I61" s="21">
        <v>150000</v>
      </c>
    </row>
    <row r="62" spans="1:9" x14ac:dyDescent="0.3">
      <c r="A62" s="3">
        <v>45663</v>
      </c>
      <c r="B62" s="1" t="s">
        <v>8</v>
      </c>
      <c r="C62" s="1" t="s">
        <v>105</v>
      </c>
      <c r="D62" s="1" t="s">
        <v>20</v>
      </c>
      <c r="E62" s="1">
        <v>20</v>
      </c>
      <c r="F62" s="25">
        <v>150000</v>
      </c>
      <c r="G62" s="1" t="s">
        <v>74</v>
      </c>
      <c r="H62" s="1" t="s">
        <v>485</v>
      </c>
      <c r="I62" s="21">
        <v>3000000</v>
      </c>
    </row>
    <row r="63" spans="1:9" x14ac:dyDescent="0.3">
      <c r="A63" s="3">
        <v>45694</v>
      </c>
      <c r="B63" s="1" t="s">
        <v>8</v>
      </c>
      <c r="C63" s="1" t="s">
        <v>473</v>
      </c>
      <c r="D63" s="1" t="s">
        <v>165</v>
      </c>
      <c r="E63" s="1">
        <v>11</v>
      </c>
      <c r="F63" s="25">
        <v>350000</v>
      </c>
      <c r="G63" s="1" t="s">
        <v>116</v>
      </c>
      <c r="H63" s="1" t="s">
        <v>486</v>
      </c>
      <c r="I63" s="21">
        <v>3850000</v>
      </c>
    </row>
    <row r="64" spans="1:9" x14ac:dyDescent="0.3">
      <c r="A64" s="3">
        <v>45671</v>
      </c>
      <c r="B64" s="1" t="s">
        <v>99</v>
      </c>
      <c r="C64" s="1" t="s">
        <v>119</v>
      </c>
      <c r="D64" s="1" t="s">
        <v>120</v>
      </c>
      <c r="E64" s="1">
        <v>14</v>
      </c>
      <c r="F64" s="25">
        <v>250000</v>
      </c>
      <c r="G64" s="1" t="s">
        <v>116</v>
      </c>
      <c r="H64" s="1" t="s">
        <v>341</v>
      </c>
      <c r="I64" s="21">
        <v>3500000</v>
      </c>
    </row>
    <row r="65" spans="1:9" x14ac:dyDescent="0.3">
      <c r="A65" s="3">
        <v>45779</v>
      </c>
      <c r="B65" s="1" t="s">
        <v>59</v>
      </c>
      <c r="C65" s="1" t="s">
        <v>105</v>
      </c>
      <c r="D65" s="1" t="s">
        <v>20</v>
      </c>
      <c r="E65" s="1">
        <v>3</v>
      </c>
      <c r="F65" s="25">
        <v>150000</v>
      </c>
      <c r="G65" s="1" t="s">
        <v>74</v>
      </c>
      <c r="H65" s="1" t="s">
        <v>481</v>
      </c>
      <c r="I65" s="21">
        <v>450000</v>
      </c>
    </row>
    <row r="66" spans="1:9" x14ac:dyDescent="0.3">
      <c r="A66" s="3">
        <v>45825</v>
      </c>
      <c r="B66" s="1" t="s">
        <v>99</v>
      </c>
      <c r="C66" s="1" t="s">
        <v>472</v>
      </c>
      <c r="D66" s="1" t="s">
        <v>226</v>
      </c>
      <c r="E66" s="1">
        <v>6</v>
      </c>
      <c r="F66" s="25">
        <v>85000</v>
      </c>
      <c r="G66" s="1" t="s">
        <v>319</v>
      </c>
      <c r="H66" s="1" t="s">
        <v>485</v>
      </c>
      <c r="I66" s="21">
        <v>510000</v>
      </c>
    </row>
    <row r="67" spans="1:9" x14ac:dyDescent="0.3">
      <c r="A67" s="3">
        <v>45670</v>
      </c>
      <c r="B67" s="1" t="s">
        <v>59</v>
      </c>
      <c r="C67" s="1" t="s">
        <v>473</v>
      </c>
      <c r="D67" s="1" t="s">
        <v>165</v>
      </c>
      <c r="E67" s="1">
        <v>15</v>
      </c>
      <c r="F67" s="25">
        <v>350000</v>
      </c>
      <c r="G67" s="1" t="s">
        <v>116</v>
      </c>
      <c r="H67" s="1" t="s">
        <v>486</v>
      </c>
      <c r="I67" s="21">
        <v>5250000</v>
      </c>
    </row>
    <row r="68" spans="1:9" x14ac:dyDescent="0.3">
      <c r="A68" s="3">
        <v>45810</v>
      </c>
      <c r="B68" s="1" t="s">
        <v>71</v>
      </c>
      <c r="C68" s="1" t="s">
        <v>105</v>
      </c>
      <c r="D68" s="1" t="s">
        <v>20</v>
      </c>
      <c r="E68" s="1">
        <v>16</v>
      </c>
      <c r="F68" s="25">
        <v>150000</v>
      </c>
      <c r="G68" s="1" t="s">
        <v>478</v>
      </c>
      <c r="H68" s="1" t="s">
        <v>341</v>
      </c>
      <c r="I68" s="21">
        <v>2400000</v>
      </c>
    </row>
    <row r="69" spans="1:9" x14ac:dyDescent="0.3">
      <c r="A69" s="3">
        <v>45704</v>
      </c>
      <c r="B69" s="1" t="s">
        <v>99</v>
      </c>
      <c r="C69" s="1" t="s">
        <v>476</v>
      </c>
      <c r="D69" s="1" t="s">
        <v>110</v>
      </c>
      <c r="E69" s="1">
        <v>8</v>
      </c>
      <c r="F69" s="25">
        <v>175000</v>
      </c>
      <c r="G69" s="1" t="s">
        <v>179</v>
      </c>
      <c r="H69" s="1" t="s">
        <v>481</v>
      </c>
      <c r="I69" s="21">
        <v>1400000</v>
      </c>
    </row>
    <row r="70" spans="1:9" x14ac:dyDescent="0.3">
      <c r="A70" s="3">
        <v>45761</v>
      </c>
      <c r="B70" s="1" t="s">
        <v>8</v>
      </c>
      <c r="C70" s="1" t="s">
        <v>472</v>
      </c>
      <c r="D70" s="1" t="s">
        <v>226</v>
      </c>
      <c r="E70" s="1">
        <v>2</v>
      </c>
      <c r="F70" s="25">
        <v>85000</v>
      </c>
      <c r="G70" s="1" t="s">
        <v>116</v>
      </c>
      <c r="H70" s="1" t="s">
        <v>484</v>
      </c>
      <c r="I70" s="21">
        <v>170000</v>
      </c>
    </row>
    <row r="71" spans="1:9" x14ac:dyDescent="0.3">
      <c r="A71" s="3">
        <v>45663</v>
      </c>
      <c r="B71" s="1" t="s">
        <v>71</v>
      </c>
      <c r="C71" s="1" t="s">
        <v>119</v>
      </c>
      <c r="D71" s="1" t="s">
        <v>120</v>
      </c>
      <c r="E71" s="1">
        <v>13</v>
      </c>
      <c r="F71" s="25">
        <v>250000</v>
      </c>
      <c r="G71" s="1" t="s">
        <v>479</v>
      </c>
      <c r="H71" s="1" t="s">
        <v>341</v>
      </c>
      <c r="I71" s="21">
        <v>3250000</v>
      </c>
    </row>
    <row r="72" spans="1:9" x14ac:dyDescent="0.3">
      <c r="A72" s="3">
        <v>45668</v>
      </c>
      <c r="B72" s="1" t="s">
        <v>59</v>
      </c>
      <c r="C72" s="1" t="s">
        <v>475</v>
      </c>
      <c r="D72" s="1" t="s">
        <v>477</v>
      </c>
      <c r="E72" s="1">
        <v>11</v>
      </c>
      <c r="F72" s="25">
        <v>65000</v>
      </c>
      <c r="G72" s="1" t="s">
        <v>116</v>
      </c>
      <c r="H72" s="1" t="s">
        <v>486</v>
      </c>
      <c r="I72" s="21">
        <v>715000</v>
      </c>
    </row>
    <row r="73" spans="1:9" x14ac:dyDescent="0.3">
      <c r="A73" s="3">
        <v>45825</v>
      </c>
      <c r="B73" s="1" t="s">
        <v>8</v>
      </c>
      <c r="C73" s="1" t="s">
        <v>473</v>
      </c>
      <c r="D73" s="1" t="s">
        <v>165</v>
      </c>
      <c r="E73" s="1">
        <v>17</v>
      </c>
      <c r="F73" s="25">
        <v>350000</v>
      </c>
      <c r="G73" s="1" t="s">
        <v>116</v>
      </c>
      <c r="H73" s="1" t="s">
        <v>75</v>
      </c>
      <c r="I73" s="21">
        <v>5950000</v>
      </c>
    </row>
    <row r="74" spans="1:9" x14ac:dyDescent="0.3">
      <c r="A74" s="3">
        <v>45671</v>
      </c>
      <c r="B74" s="1" t="s">
        <v>59</v>
      </c>
      <c r="C74" s="1" t="s">
        <v>475</v>
      </c>
      <c r="D74" s="1" t="s">
        <v>477</v>
      </c>
      <c r="E74" s="1">
        <v>18</v>
      </c>
      <c r="F74" s="25">
        <v>65000</v>
      </c>
      <c r="G74" s="1" t="s">
        <v>116</v>
      </c>
      <c r="H74" s="1" t="s">
        <v>260</v>
      </c>
      <c r="I74" s="21">
        <v>1170000</v>
      </c>
    </row>
    <row r="75" spans="1:9" x14ac:dyDescent="0.3">
      <c r="A75" s="3">
        <v>45806</v>
      </c>
      <c r="B75" s="1" t="s">
        <v>99</v>
      </c>
      <c r="C75" s="1" t="s">
        <v>474</v>
      </c>
      <c r="D75" s="1" t="s">
        <v>20</v>
      </c>
      <c r="E75" s="1">
        <v>13</v>
      </c>
      <c r="F75" s="25">
        <v>180000</v>
      </c>
      <c r="G75" s="1" t="s">
        <v>479</v>
      </c>
      <c r="H75" s="1" t="s">
        <v>482</v>
      </c>
      <c r="I75" s="21">
        <v>2340000</v>
      </c>
    </row>
    <row r="76" spans="1:9" x14ac:dyDescent="0.3">
      <c r="A76" s="3">
        <v>45731</v>
      </c>
      <c r="B76" s="1" t="s">
        <v>8</v>
      </c>
      <c r="C76" s="1" t="s">
        <v>476</v>
      </c>
      <c r="D76" s="1" t="s">
        <v>110</v>
      </c>
      <c r="E76" s="1">
        <v>10</v>
      </c>
      <c r="F76" s="25">
        <v>175000</v>
      </c>
      <c r="G76" s="1" t="s">
        <v>74</v>
      </c>
      <c r="H76" s="1" t="s">
        <v>483</v>
      </c>
      <c r="I76" s="21">
        <v>1750000</v>
      </c>
    </row>
    <row r="77" spans="1:9" x14ac:dyDescent="0.3">
      <c r="A77" s="3">
        <v>45742</v>
      </c>
      <c r="B77" s="1" t="s">
        <v>99</v>
      </c>
      <c r="C77" s="1" t="s">
        <v>472</v>
      </c>
      <c r="D77" s="1" t="s">
        <v>226</v>
      </c>
      <c r="E77" s="1">
        <v>5</v>
      </c>
      <c r="F77" s="25">
        <v>85000</v>
      </c>
      <c r="G77" s="1" t="s">
        <v>479</v>
      </c>
      <c r="H77" s="1" t="s">
        <v>480</v>
      </c>
      <c r="I77" s="21">
        <v>425000</v>
      </c>
    </row>
    <row r="78" spans="1:9" x14ac:dyDescent="0.3">
      <c r="A78" s="3">
        <v>45669</v>
      </c>
      <c r="B78" s="1" t="s">
        <v>71</v>
      </c>
      <c r="C78" s="1" t="s">
        <v>473</v>
      </c>
      <c r="D78" s="1" t="s">
        <v>165</v>
      </c>
      <c r="E78" s="1">
        <v>17</v>
      </c>
      <c r="F78" s="25">
        <v>350000</v>
      </c>
      <c r="G78" s="1" t="s">
        <v>437</v>
      </c>
      <c r="H78" s="1" t="s">
        <v>485</v>
      </c>
      <c r="I78" s="21">
        <v>5950000</v>
      </c>
    </row>
    <row r="79" spans="1:9" x14ac:dyDescent="0.3">
      <c r="A79" s="3">
        <v>45680</v>
      </c>
      <c r="B79" s="1" t="s">
        <v>71</v>
      </c>
      <c r="C79" s="1" t="s">
        <v>473</v>
      </c>
      <c r="D79" s="1" t="s">
        <v>165</v>
      </c>
      <c r="E79" s="1">
        <v>13</v>
      </c>
      <c r="F79" s="25">
        <v>350000</v>
      </c>
      <c r="G79" s="1" t="s">
        <v>319</v>
      </c>
      <c r="H79" s="1" t="s">
        <v>485</v>
      </c>
      <c r="I79" s="21">
        <v>4550000</v>
      </c>
    </row>
    <row r="80" spans="1:9" x14ac:dyDescent="0.3">
      <c r="A80" s="3">
        <v>45782</v>
      </c>
      <c r="B80" s="1" t="s">
        <v>71</v>
      </c>
      <c r="C80" s="1" t="s">
        <v>473</v>
      </c>
      <c r="D80" s="1" t="s">
        <v>165</v>
      </c>
      <c r="E80" s="1">
        <v>8</v>
      </c>
      <c r="F80" s="25">
        <v>350000</v>
      </c>
      <c r="G80" s="1" t="s">
        <v>478</v>
      </c>
      <c r="H80" s="1" t="s">
        <v>131</v>
      </c>
      <c r="I80" s="21">
        <v>2800000</v>
      </c>
    </row>
    <row r="81" spans="1:9" x14ac:dyDescent="0.3">
      <c r="A81" s="3">
        <v>45796</v>
      </c>
      <c r="B81" s="1" t="s">
        <v>8</v>
      </c>
      <c r="C81" s="1" t="s">
        <v>472</v>
      </c>
      <c r="D81" s="1" t="s">
        <v>226</v>
      </c>
      <c r="E81" s="1">
        <v>13</v>
      </c>
      <c r="F81" s="25">
        <v>85000</v>
      </c>
      <c r="G81" s="1" t="s">
        <v>74</v>
      </c>
      <c r="H81" s="1" t="s">
        <v>131</v>
      </c>
      <c r="I81" s="21">
        <v>1105000</v>
      </c>
    </row>
    <row r="82" spans="1:9" x14ac:dyDescent="0.3">
      <c r="A82" s="3">
        <v>45751</v>
      </c>
      <c r="B82" s="1" t="s">
        <v>99</v>
      </c>
      <c r="C82" s="1" t="s">
        <v>105</v>
      </c>
      <c r="D82" s="1" t="s">
        <v>20</v>
      </c>
      <c r="E82" s="1">
        <v>17</v>
      </c>
      <c r="F82" s="25">
        <v>150000</v>
      </c>
      <c r="G82" s="1" t="s">
        <v>319</v>
      </c>
      <c r="H82" s="1" t="s">
        <v>17</v>
      </c>
      <c r="I82" s="21">
        <v>2550000</v>
      </c>
    </row>
    <row r="83" spans="1:9" x14ac:dyDescent="0.3">
      <c r="A83" s="3">
        <v>45714</v>
      </c>
      <c r="B83" s="1" t="s">
        <v>8</v>
      </c>
      <c r="C83" s="1" t="s">
        <v>475</v>
      </c>
      <c r="D83" s="1" t="s">
        <v>477</v>
      </c>
      <c r="E83" s="1">
        <v>19</v>
      </c>
      <c r="F83" s="25">
        <v>65000</v>
      </c>
      <c r="G83" s="1" t="s">
        <v>479</v>
      </c>
      <c r="H83" s="1" t="s">
        <v>260</v>
      </c>
      <c r="I83" s="21">
        <v>1235000</v>
      </c>
    </row>
    <row r="84" spans="1:9" x14ac:dyDescent="0.3">
      <c r="A84" s="3">
        <v>45811</v>
      </c>
      <c r="B84" s="1" t="s">
        <v>71</v>
      </c>
      <c r="C84" s="1" t="s">
        <v>105</v>
      </c>
      <c r="D84" s="1" t="s">
        <v>20</v>
      </c>
      <c r="E84" s="1">
        <v>1</v>
      </c>
      <c r="F84" s="25">
        <v>150000</v>
      </c>
      <c r="G84" s="1" t="s">
        <v>479</v>
      </c>
      <c r="H84" s="1" t="s">
        <v>480</v>
      </c>
      <c r="I84" s="21">
        <v>150000</v>
      </c>
    </row>
    <row r="85" spans="1:9" x14ac:dyDescent="0.3">
      <c r="A85" s="3">
        <v>45752</v>
      </c>
      <c r="B85" s="1" t="s">
        <v>99</v>
      </c>
      <c r="C85" s="1" t="s">
        <v>119</v>
      </c>
      <c r="D85" s="1" t="s">
        <v>120</v>
      </c>
      <c r="E85" s="1">
        <v>13</v>
      </c>
      <c r="F85" s="25">
        <v>250000</v>
      </c>
      <c r="G85" s="1" t="s">
        <v>116</v>
      </c>
      <c r="H85" s="1" t="s">
        <v>131</v>
      </c>
      <c r="I85" s="21">
        <v>3250000</v>
      </c>
    </row>
    <row r="86" spans="1:9" x14ac:dyDescent="0.3">
      <c r="A86" s="3">
        <v>45687</v>
      </c>
      <c r="B86" s="1" t="s">
        <v>99</v>
      </c>
      <c r="C86" s="1" t="s">
        <v>475</v>
      </c>
      <c r="D86" s="1" t="s">
        <v>477</v>
      </c>
      <c r="E86" s="1">
        <v>18</v>
      </c>
      <c r="F86" s="25">
        <v>65000</v>
      </c>
      <c r="G86" s="1" t="s">
        <v>116</v>
      </c>
      <c r="H86" s="1" t="s">
        <v>487</v>
      </c>
      <c r="I86" s="21">
        <v>1170000</v>
      </c>
    </row>
    <row r="87" spans="1:9" x14ac:dyDescent="0.3">
      <c r="A87" s="3">
        <v>45688</v>
      </c>
      <c r="B87" s="1" t="s">
        <v>71</v>
      </c>
      <c r="C87" s="1" t="s">
        <v>119</v>
      </c>
      <c r="D87" s="1" t="s">
        <v>120</v>
      </c>
      <c r="E87" s="1">
        <v>20</v>
      </c>
      <c r="F87" s="25">
        <v>250000</v>
      </c>
      <c r="G87" s="1" t="s">
        <v>74</v>
      </c>
      <c r="H87" s="1" t="s">
        <v>75</v>
      </c>
      <c r="I87" s="21">
        <v>5000000</v>
      </c>
    </row>
    <row r="88" spans="1:9" x14ac:dyDescent="0.3">
      <c r="A88" s="3">
        <v>45804</v>
      </c>
      <c r="B88" s="1" t="s">
        <v>99</v>
      </c>
      <c r="C88" s="1" t="s">
        <v>474</v>
      </c>
      <c r="D88" s="1" t="s">
        <v>20</v>
      </c>
      <c r="E88" s="1">
        <v>4</v>
      </c>
      <c r="F88" s="25">
        <v>180000</v>
      </c>
      <c r="G88" s="1" t="s">
        <v>74</v>
      </c>
      <c r="H88" s="1" t="s">
        <v>17</v>
      </c>
      <c r="I88" s="21">
        <v>720000</v>
      </c>
    </row>
    <row r="89" spans="1:9" x14ac:dyDescent="0.3">
      <c r="A89" s="3">
        <v>45755</v>
      </c>
      <c r="B89" s="1" t="s">
        <v>8</v>
      </c>
      <c r="C89" s="1" t="s">
        <v>105</v>
      </c>
      <c r="D89" s="1" t="s">
        <v>20</v>
      </c>
      <c r="E89" s="1">
        <v>5</v>
      </c>
      <c r="F89" s="25">
        <v>150000</v>
      </c>
      <c r="G89" s="1" t="s">
        <v>116</v>
      </c>
      <c r="H89" s="1" t="s">
        <v>63</v>
      </c>
      <c r="I89" s="21">
        <v>750000</v>
      </c>
    </row>
    <row r="90" spans="1:9" x14ac:dyDescent="0.3">
      <c r="A90" s="3">
        <v>45701</v>
      </c>
      <c r="B90" s="1" t="s">
        <v>59</v>
      </c>
      <c r="C90" s="1" t="s">
        <v>119</v>
      </c>
      <c r="D90" s="1" t="s">
        <v>120</v>
      </c>
      <c r="E90" s="1">
        <v>11</v>
      </c>
      <c r="F90" s="25">
        <v>250000</v>
      </c>
      <c r="G90" s="1" t="s">
        <v>319</v>
      </c>
      <c r="H90" s="1" t="s">
        <v>75</v>
      </c>
      <c r="I90" s="21">
        <v>2750000</v>
      </c>
    </row>
    <row r="91" spans="1:9" x14ac:dyDescent="0.3">
      <c r="A91" s="3">
        <v>45725</v>
      </c>
      <c r="B91" s="1" t="s">
        <v>99</v>
      </c>
      <c r="C91" s="1" t="s">
        <v>119</v>
      </c>
      <c r="D91" s="1" t="s">
        <v>120</v>
      </c>
      <c r="E91" s="1">
        <v>20</v>
      </c>
      <c r="F91" s="25">
        <v>250000</v>
      </c>
      <c r="G91" s="1" t="s">
        <v>478</v>
      </c>
      <c r="H91" s="1" t="s">
        <v>260</v>
      </c>
      <c r="I91" s="21">
        <v>5000000</v>
      </c>
    </row>
    <row r="92" spans="1:9" x14ac:dyDescent="0.3">
      <c r="A92" s="3">
        <v>45708</v>
      </c>
      <c r="B92" s="1" t="s">
        <v>59</v>
      </c>
      <c r="C92" s="1" t="s">
        <v>472</v>
      </c>
      <c r="D92" s="1" t="s">
        <v>226</v>
      </c>
      <c r="E92" s="1">
        <v>7</v>
      </c>
      <c r="F92" s="25">
        <v>85000</v>
      </c>
      <c r="G92" s="1" t="s">
        <v>319</v>
      </c>
      <c r="H92" s="1" t="s">
        <v>260</v>
      </c>
      <c r="I92" s="21">
        <v>595000</v>
      </c>
    </row>
    <row r="93" spans="1:9" x14ac:dyDescent="0.3">
      <c r="A93" s="3">
        <v>45707</v>
      </c>
      <c r="B93" s="1" t="s">
        <v>99</v>
      </c>
      <c r="C93" s="1" t="s">
        <v>119</v>
      </c>
      <c r="D93" s="1" t="s">
        <v>120</v>
      </c>
      <c r="E93" s="1">
        <v>5</v>
      </c>
      <c r="F93" s="25">
        <v>250000</v>
      </c>
      <c r="G93" s="1" t="s">
        <v>437</v>
      </c>
      <c r="H93" s="1" t="s">
        <v>487</v>
      </c>
      <c r="I93" s="21">
        <v>1250000</v>
      </c>
    </row>
    <row r="94" spans="1:9" x14ac:dyDescent="0.3">
      <c r="A94" s="3">
        <v>45757</v>
      </c>
      <c r="B94" s="1" t="s">
        <v>99</v>
      </c>
      <c r="C94" s="1" t="s">
        <v>476</v>
      </c>
      <c r="D94" s="1" t="s">
        <v>110</v>
      </c>
      <c r="E94" s="1">
        <v>19</v>
      </c>
      <c r="F94" s="25">
        <v>175000</v>
      </c>
      <c r="G94" s="1" t="s">
        <v>437</v>
      </c>
      <c r="H94" s="1" t="s">
        <v>484</v>
      </c>
      <c r="I94" s="21">
        <v>3325000</v>
      </c>
    </row>
    <row r="95" spans="1:9" x14ac:dyDescent="0.3">
      <c r="A95" s="3">
        <v>45798</v>
      </c>
      <c r="B95" s="1" t="s">
        <v>99</v>
      </c>
      <c r="C95" s="1" t="s">
        <v>473</v>
      </c>
      <c r="D95" s="1" t="s">
        <v>165</v>
      </c>
      <c r="E95" s="1">
        <v>14</v>
      </c>
      <c r="F95" s="25">
        <v>350000</v>
      </c>
      <c r="G95" s="1" t="s">
        <v>479</v>
      </c>
      <c r="H95" s="1" t="s">
        <v>17</v>
      </c>
      <c r="I95" s="21">
        <v>4900000</v>
      </c>
    </row>
    <row r="96" spans="1:9" x14ac:dyDescent="0.3">
      <c r="A96" s="3">
        <v>45834</v>
      </c>
      <c r="B96" s="1" t="s">
        <v>99</v>
      </c>
      <c r="C96" s="1" t="s">
        <v>476</v>
      </c>
      <c r="D96" s="1" t="s">
        <v>110</v>
      </c>
      <c r="E96" s="1">
        <v>20</v>
      </c>
      <c r="F96" s="25">
        <v>175000</v>
      </c>
      <c r="G96" s="1" t="s">
        <v>437</v>
      </c>
      <c r="H96" s="1" t="s">
        <v>481</v>
      </c>
      <c r="I96" s="21">
        <v>3500000</v>
      </c>
    </row>
    <row r="97" spans="1:9" x14ac:dyDescent="0.3">
      <c r="A97" s="3">
        <v>45708</v>
      </c>
      <c r="B97" s="1" t="s">
        <v>8</v>
      </c>
      <c r="C97" s="1" t="s">
        <v>472</v>
      </c>
      <c r="D97" s="1" t="s">
        <v>226</v>
      </c>
      <c r="E97" s="1">
        <v>18</v>
      </c>
      <c r="F97" s="25">
        <v>85000</v>
      </c>
      <c r="G97" s="1" t="s">
        <v>179</v>
      </c>
      <c r="H97" s="1" t="s">
        <v>486</v>
      </c>
      <c r="I97" s="21">
        <v>1530000</v>
      </c>
    </row>
    <row r="98" spans="1:9" x14ac:dyDescent="0.3">
      <c r="A98" s="3">
        <v>45835</v>
      </c>
      <c r="B98" s="1" t="s">
        <v>71</v>
      </c>
      <c r="C98" s="1" t="s">
        <v>476</v>
      </c>
      <c r="D98" s="1" t="s">
        <v>110</v>
      </c>
      <c r="E98" s="1">
        <v>17</v>
      </c>
      <c r="F98" s="25">
        <v>175000</v>
      </c>
      <c r="G98" s="1" t="s">
        <v>478</v>
      </c>
      <c r="H98" s="1" t="s">
        <v>485</v>
      </c>
      <c r="I98" s="21">
        <v>2975000</v>
      </c>
    </row>
    <row r="99" spans="1:9" x14ac:dyDescent="0.3">
      <c r="A99" s="3">
        <v>45693</v>
      </c>
      <c r="B99" s="1" t="s">
        <v>8</v>
      </c>
      <c r="C99" s="1" t="s">
        <v>119</v>
      </c>
      <c r="D99" s="1" t="s">
        <v>120</v>
      </c>
      <c r="E99" s="1">
        <v>20</v>
      </c>
      <c r="F99" s="25">
        <v>250000</v>
      </c>
      <c r="G99" s="1" t="s">
        <v>319</v>
      </c>
      <c r="H99" s="1" t="s">
        <v>17</v>
      </c>
      <c r="I99" s="21">
        <v>5000000</v>
      </c>
    </row>
    <row r="100" spans="1:9" x14ac:dyDescent="0.3">
      <c r="A100" s="3">
        <v>45815</v>
      </c>
      <c r="B100" s="1" t="s">
        <v>8</v>
      </c>
      <c r="C100" s="1" t="s">
        <v>473</v>
      </c>
      <c r="D100" s="1" t="s">
        <v>165</v>
      </c>
      <c r="E100" s="1">
        <v>20</v>
      </c>
      <c r="F100" s="25">
        <v>350000</v>
      </c>
      <c r="G100" s="1" t="s">
        <v>179</v>
      </c>
      <c r="H100" s="1" t="s">
        <v>260</v>
      </c>
      <c r="I100" s="21">
        <v>7000000</v>
      </c>
    </row>
    <row r="101" spans="1:9" x14ac:dyDescent="0.3">
      <c r="A101" s="3">
        <v>45790</v>
      </c>
      <c r="B101" s="1" t="s">
        <v>59</v>
      </c>
      <c r="C101" s="1" t="s">
        <v>105</v>
      </c>
      <c r="D101" s="1" t="s">
        <v>20</v>
      </c>
      <c r="E101" s="1">
        <v>18</v>
      </c>
      <c r="F101" s="25">
        <v>150000</v>
      </c>
      <c r="G101" s="1" t="s">
        <v>479</v>
      </c>
      <c r="H101" s="1" t="s">
        <v>63</v>
      </c>
      <c r="I101" s="22">
        <v>2700000</v>
      </c>
    </row>
  </sheetData>
  <phoneticPr fontId="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1EB63-9386-4614-9A6F-0F7B359F8A1A}">
  <dimension ref="A2:P56"/>
  <sheetViews>
    <sheetView tabSelected="1" zoomScale="76" workbookViewId="0">
      <selection activeCell="L23" sqref="L23"/>
    </sheetView>
  </sheetViews>
  <sheetFormatPr defaultRowHeight="14.4" x14ac:dyDescent="0.3"/>
  <cols>
    <col min="1" max="2" width="12" bestFit="1" customWidth="1"/>
    <col min="3" max="3" width="15.5546875" bestFit="1" customWidth="1"/>
    <col min="4" max="4" width="16.109375" bestFit="1" customWidth="1"/>
    <col min="5" max="5" width="13.88671875" bestFit="1" customWidth="1"/>
    <col min="6" max="6" width="11" bestFit="1" customWidth="1"/>
    <col min="7" max="7" width="10.33203125" bestFit="1" customWidth="1"/>
    <col min="8" max="8" width="10.109375" bestFit="1" customWidth="1"/>
    <col min="9" max="9" width="8.109375" bestFit="1" customWidth="1"/>
    <col min="10" max="10" width="16" bestFit="1" customWidth="1"/>
    <col min="11" max="11" width="11.109375" bestFit="1" customWidth="1"/>
    <col min="12" max="12" width="14" bestFit="1" customWidth="1"/>
    <col min="13" max="13" width="13.77734375" bestFit="1" customWidth="1"/>
    <col min="14" max="14" width="12" bestFit="1" customWidth="1"/>
    <col min="15" max="15" width="13.88671875" bestFit="1" customWidth="1"/>
    <col min="16" max="16" width="12.109375" bestFit="1" customWidth="1"/>
    <col min="17" max="18" width="14.109375" bestFit="1" customWidth="1"/>
    <col min="19" max="19" width="15.109375" bestFit="1" customWidth="1"/>
    <col min="20" max="21" width="12.44140625" bestFit="1" customWidth="1"/>
    <col min="22" max="26" width="14.109375" bestFit="1" customWidth="1"/>
    <col min="27" max="28" width="12.44140625" bestFit="1" customWidth="1"/>
    <col min="29" max="35" width="14.109375" bestFit="1" customWidth="1"/>
    <col min="36" max="36" width="12.44140625" bestFit="1" customWidth="1"/>
    <col min="37" max="37" width="14.109375" bestFit="1" customWidth="1"/>
    <col min="38" max="38" width="12.44140625" bestFit="1" customWidth="1"/>
    <col min="39" max="45" width="14.109375" bestFit="1" customWidth="1"/>
    <col min="46" max="47" width="12.44140625" bestFit="1" customWidth="1"/>
    <col min="48" max="48" width="14.109375" bestFit="1" customWidth="1"/>
    <col min="49" max="50" width="12.44140625" bestFit="1" customWidth="1"/>
    <col min="51" max="60" width="14.109375" bestFit="1" customWidth="1"/>
    <col min="61" max="61" width="12.44140625" bestFit="1" customWidth="1"/>
    <col min="62" max="62" width="14.109375" bestFit="1" customWidth="1"/>
    <col min="63" max="63" width="12.44140625" bestFit="1" customWidth="1"/>
    <col min="64" max="65" width="14.109375" bestFit="1" customWidth="1"/>
    <col min="66" max="66" width="12.44140625" bestFit="1" customWidth="1"/>
    <col min="67" max="67" width="14.109375" bestFit="1" customWidth="1"/>
    <col min="68" max="68" width="12.44140625" bestFit="1" customWidth="1"/>
    <col min="69" max="69" width="14.109375" bestFit="1" customWidth="1"/>
    <col min="70" max="70" width="12.44140625" bestFit="1" customWidth="1"/>
    <col min="71" max="71" width="14.109375" bestFit="1" customWidth="1"/>
    <col min="72" max="72" width="12.44140625" bestFit="1" customWidth="1"/>
    <col min="73" max="73" width="15.109375" bestFit="1" customWidth="1"/>
    <col min="74" max="75" width="14.109375" bestFit="1" customWidth="1"/>
    <col min="76" max="76" width="12.44140625" bestFit="1" customWidth="1"/>
    <col min="77" max="77" width="14.109375" bestFit="1" customWidth="1"/>
    <col min="78" max="78" width="12.44140625" bestFit="1" customWidth="1"/>
    <col min="79" max="79" width="16.109375" bestFit="1" customWidth="1"/>
  </cols>
  <sheetData>
    <row r="2" spans="1:12" ht="24.6" x14ac:dyDescent="0.55000000000000004">
      <c r="E2" s="13" t="s">
        <v>492</v>
      </c>
      <c r="J2" s="8" t="s">
        <v>512</v>
      </c>
    </row>
    <row r="3" spans="1:12" x14ac:dyDescent="0.3">
      <c r="E3" s="9" t="s">
        <v>1</v>
      </c>
      <c r="F3" s="11" t="s">
        <v>493</v>
      </c>
      <c r="J3" s="9" t="s">
        <v>7</v>
      </c>
      <c r="K3" t="s">
        <v>495</v>
      </c>
      <c r="L3" t="s">
        <v>496</v>
      </c>
    </row>
    <row r="4" spans="1:12" x14ac:dyDescent="0.3">
      <c r="E4" s="10" t="s">
        <v>99</v>
      </c>
      <c r="F4" s="14">
        <v>75120000</v>
      </c>
      <c r="J4" s="10" t="s">
        <v>260</v>
      </c>
      <c r="K4">
        <v>162</v>
      </c>
      <c r="L4" s="27">
        <v>31180000</v>
      </c>
    </row>
    <row r="5" spans="1:12" x14ac:dyDescent="0.3">
      <c r="E5" s="10" t="s">
        <v>8</v>
      </c>
      <c r="F5" s="14">
        <v>57110000</v>
      </c>
      <c r="J5" s="10" t="s">
        <v>17</v>
      </c>
      <c r="K5">
        <v>133</v>
      </c>
      <c r="L5" s="27">
        <v>27620000</v>
      </c>
    </row>
    <row r="6" spans="1:12" x14ac:dyDescent="0.3">
      <c r="E6" s="10" t="s">
        <v>59</v>
      </c>
      <c r="F6" s="14">
        <v>45855000</v>
      </c>
      <c r="J6" s="10" t="s">
        <v>75</v>
      </c>
      <c r="K6">
        <v>112</v>
      </c>
      <c r="L6" s="27">
        <v>25700000</v>
      </c>
    </row>
    <row r="7" spans="1:12" x14ac:dyDescent="0.3">
      <c r="E7" s="10" t="s">
        <v>71</v>
      </c>
      <c r="F7" s="14">
        <v>39490000</v>
      </c>
      <c r="J7" s="10" t="s">
        <v>485</v>
      </c>
      <c r="K7">
        <v>93</v>
      </c>
      <c r="L7" s="27">
        <v>23635000</v>
      </c>
    </row>
    <row r="8" spans="1:12" x14ac:dyDescent="0.3">
      <c r="E8" s="10" t="s">
        <v>489</v>
      </c>
      <c r="F8" s="14">
        <v>217575000</v>
      </c>
      <c r="J8" s="10" t="s">
        <v>341</v>
      </c>
      <c r="K8">
        <v>75</v>
      </c>
      <c r="L8" s="27">
        <v>15300000</v>
      </c>
    </row>
    <row r="9" spans="1:12" x14ac:dyDescent="0.3">
      <c r="J9" s="10" t="s">
        <v>481</v>
      </c>
      <c r="K9">
        <v>80</v>
      </c>
      <c r="L9" s="27">
        <v>13715000</v>
      </c>
    </row>
    <row r="10" spans="1:12" x14ac:dyDescent="0.3">
      <c r="J10" s="10" t="s">
        <v>483</v>
      </c>
      <c r="K10">
        <v>73</v>
      </c>
      <c r="L10" s="27">
        <v>12740000</v>
      </c>
    </row>
    <row r="11" spans="1:12" x14ac:dyDescent="0.3">
      <c r="J11" s="10" t="s">
        <v>131</v>
      </c>
      <c r="K11">
        <v>76</v>
      </c>
      <c r="L11" s="27">
        <v>12435000</v>
      </c>
    </row>
    <row r="12" spans="1:12" ht="20.399999999999999" x14ac:dyDescent="0.45">
      <c r="E12" s="8" t="s">
        <v>505</v>
      </c>
      <c r="J12" s="10" t="s">
        <v>486</v>
      </c>
      <c r="K12">
        <v>66</v>
      </c>
      <c r="L12" s="27">
        <v>12060000</v>
      </c>
    </row>
    <row r="13" spans="1:12" x14ac:dyDescent="0.3">
      <c r="J13" s="10" t="s">
        <v>63</v>
      </c>
      <c r="K13">
        <v>83</v>
      </c>
      <c r="L13" s="27">
        <v>11480000</v>
      </c>
    </row>
    <row r="14" spans="1:12" x14ac:dyDescent="0.3">
      <c r="J14" s="10" t="s">
        <v>482</v>
      </c>
      <c r="K14">
        <v>47</v>
      </c>
      <c r="L14" s="27">
        <v>11360000</v>
      </c>
    </row>
    <row r="15" spans="1:12" x14ac:dyDescent="0.3">
      <c r="J15" s="10" t="s">
        <v>484</v>
      </c>
      <c r="K15">
        <v>82</v>
      </c>
      <c r="L15" s="27">
        <v>10125000</v>
      </c>
    </row>
    <row r="16" spans="1:12" ht="20.399999999999999" x14ac:dyDescent="0.45">
      <c r="A16" s="8" t="s">
        <v>494</v>
      </c>
      <c r="J16" s="10" t="s">
        <v>487</v>
      </c>
      <c r="K16">
        <v>44</v>
      </c>
      <c r="L16" s="27">
        <v>8030000</v>
      </c>
    </row>
    <row r="17" spans="1:12" x14ac:dyDescent="0.3">
      <c r="A17" s="9" t="s">
        <v>2</v>
      </c>
      <c r="B17" s="11" t="s">
        <v>495</v>
      </c>
      <c r="J17" s="10" t="s">
        <v>480</v>
      </c>
      <c r="K17">
        <v>15</v>
      </c>
      <c r="L17" s="27">
        <v>2195000</v>
      </c>
    </row>
    <row r="18" spans="1:12" x14ac:dyDescent="0.3">
      <c r="A18" s="10" t="s">
        <v>105</v>
      </c>
      <c r="B18">
        <v>22</v>
      </c>
      <c r="J18" s="10" t="s">
        <v>489</v>
      </c>
      <c r="K18">
        <v>1141</v>
      </c>
      <c r="L18" s="27">
        <v>217575000</v>
      </c>
    </row>
    <row r="19" spans="1:12" x14ac:dyDescent="0.3">
      <c r="A19" s="10" t="s">
        <v>473</v>
      </c>
      <c r="B19">
        <v>17</v>
      </c>
    </row>
    <row r="20" spans="1:12" x14ac:dyDescent="0.3">
      <c r="A20" s="10" t="s">
        <v>119</v>
      </c>
      <c r="B20">
        <v>14</v>
      </c>
    </row>
    <row r="21" spans="1:12" x14ac:dyDescent="0.3">
      <c r="A21" s="10" t="s">
        <v>475</v>
      </c>
      <c r="B21">
        <v>14</v>
      </c>
    </row>
    <row r="22" spans="1:12" x14ac:dyDescent="0.3">
      <c r="A22" s="10" t="s">
        <v>476</v>
      </c>
      <c r="B22">
        <v>13</v>
      </c>
    </row>
    <row r="23" spans="1:12" x14ac:dyDescent="0.3">
      <c r="A23" s="10" t="s">
        <v>472</v>
      </c>
      <c r="B23">
        <v>12</v>
      </c>
    </row>
    <row r="24" spans="1:12" ht="20.399999999999999" x14ac:dyDescent="0.45">
      <c r="A24" s="10" t="s">
        <v>474</v>
      </c>
      <c r="B24">
        <v>8</v>
      </c>
      <c r="K24" s="8" t="s">
        <v>499</v>
      </c>
    </row>
    <row r="25" spans="1:12" ht="20.399999999999999" x14ac:dyDescent="0.45">
      <c r="A25" s="10" t="s">
        <v>489</v>
      </c>
      <c r="B25">
        <v>100</v>
      </c>
      <c r="E25" s="8" t="s">
        <v>497</v>
      </c>
      <c r="K25" s="9" t="s">
        <v>6</v>
      </c>
      <c r="L25" s="11" t="s">
        <v>498</v>
      </c>
    </row>
    <row r="26" spans="1:12" x14ac:dyDescent="0.3">
      <c r="E26" s="9" t="s">
        <v>6</v>
      </c>
      <c r="F26" s="11" t="s">
        <v>498</v>
      </c>
      <c r="K26" s="10" t="s">
        <v>179</v>
      </c>
      <c r="L26" s="14">
        <v>24790000</v>
      </c>
    </row>
    <row r="27" spans="1:12" x14ac:dyDescent="0.3">
      <c r="E27" s="10" t="s">
        <v>116</v>
      </c>
      <c r="F27" s="14">
        <v>41520000</v>
      </c>
      <c r="K27" s="10" t="s">
        <v>437</v>
      </c>
      <c r="L27" s="14">
        <v>20885000</v>
      </c>
    </row>
    <row r="28" spans="1:12" x14ac:dyDescent="0.3">
      <c r="E28" s="10" t="s">
        <v>319</v>
      </c>
      <c r="F28" s="14">
        <v>34020000</v>
      </c>
      <c r="K28" s="10" t="s">
        <v>471</v>
      </c>
      <c r="L28" s="14">
        <v>5250000</v>
      </c>
    </row>
    <row r="29" spans="1:12" x14ac:dyDescent="0.3">
      <c r="E29" s="10" t="s">
        <v>479</v>
      </c>
      <c r="F29" s="14">
        <v>32080000</v>
      </c>
      <c r="K29" s="10" t="s">
        <v>469</v>
      </c>
      <c r="L29" s="14">
        <v>2850000</v>
      </c>
    </row>
    <row r="30" spans="1:12" x14ac:dyDescent="0.3">
      <c r="E30" s="10" t="s">
        <v>489</v>
      </c>
      <c r="F30" s="14">
        <v>107620000</v>
      </c>
      <c r="K30" s="10" t="s">
        <v>470</v>
      </c>
      <c r="L30" s="14">
        <v>650000</v>
      </c>
    </row>
    <row r="31" spans="1:12" x14ac:dyDescent="0.3">
      <c r="K31" s="10" t="s">
        <v>489</v>
      </c>
      <c r="L31" s="14">
        <v>54425000</v>
      </c>
    </row>
    <row r="34" spans="2:16" ht="20.399999999999999" x14ac:dyDescent="0.45">
      <c r="E34" s="8" t="s">
        <v>506</v>
      </c>
      <c r="F34" s="8"/>
      <c r="N34" s="8" t="s">
        <v>503</v>
      </c>
    </row>
    <row r="35" spans="2:16" x14ac:dyDescent="0.3">
      <c r="E35" s="9" t="s">
        <v>502</v>
      </c>
      <c r="F35" s="9" t="s">
        <v>1</v>
      </c>
      <c r="O35" s="9" t="s">
        <v>6</v>
      </c>
      <c r="P35" s="11" t="s">
        <v>504</v>
      </c>
    </row>
    <row r="36" spans="2:16" x14ac:dyDescent="0.3">
      <c r="E36" s="9" t="s">
        <v>3</v>
      </c>
      <c r="F36" t="s">
        <v>226</v>
      </c>
      <c r="G36" t="s">
        <v>120</v>
      </c>
      <c r="H36" t="s">
        <v>165</v>
      </c>
      <c r="I36" t="s">
        <v>20</v>
      </c>
      <c r="J36" t="s">
        <v>477</v>
      </c>
      <c r="K36" t="s">
        <v>110</v>
      </c>
      <c r="L36" t="s">
        <v>489</v>
      </c>
      <c r="O36" s="10" t="s">
        <v>116</v>
      </c>
      <c r="P36">
        <v>206</v>
      </c>
    </row>
    <row r="37" spans="2:16" x14ac:dyDescent="0.3">
      <c r="E37" s="10" t="s">
        <v>99</v>
      </c>
      <c r="F37" s="14">
        <v>3910000</v>
      </c>
      <c r="G37" s="14">
        <v>18000000</v>
      </c>
      <c r="H37" s="14">
        <v>13300000</v>
      </c>
      <c r="I37" s="14">
        <v>18180000</v>
      </c>
      <c r="J37" s="14">
        <v>3705000</v>
      </c>
      <c r="K37" s="14">
        <v>18025000</v>
      </c>
      <c r="L37" s="14">
        <v>75120000</v>
      </c>
      <c r="O37" s="10" t="s">
        <v>319</v>
      </c>
      <c r="P37">
        <v>195</v>
      </c>
    </row>
    <row r="38" spans="2:16" x14ac:dyDescent="0.3">
      <c r="E38" s="10" t="s">
        <v>71</v>
      </c>
      <c r="F38" s="14">
        <v>1445000</v>
      </c>
      <c r="G38" s="14">
        <v>8250000</v>
      </c>
      <c r="H38" s="14">
        <v>13300000</v>
      </c>
      <c r="I38" s="14">
        <v>10140000</v>
      </c>
      <c r="J38" s="14">
        <v>1105000</v>
      </c>
      <c r="K38" s="14">
        <v>5250000</v>
      </c>
      <c r="L38" s="14">
        <v>39490000</v>
      </c>
      <c r="O38" s="10" t="s">
        <v>479</v>
      </c>
      <c r="P38">
        <v>177</v>
      </c>
    </row>
    <row r="39" spans="2:16" x14ac:dyDescent="0.3">
      <c r="E39" s="10" t="s">
        <v>8</v>
      </c>
      <c r="F39" s="14">
        <v>2975000</v>
      </c>
      <c r="G39" s="14">
        <v>9000000</v>
      </c>
      <c r="H39" s="14">
        <v>28000000</v>
      </c>
      <c r="I39" s="14">
        <v>11940000</v>
      </c>
      <c r="J39" s="14">
        <v>3445000</v>
      </c>
      <c r="K39" s="14">
        <v>1750000</v>
      </c>
      <c r="L39" s="14">
        <v>57110000</v>
      </c>
      <c r="O39" s="10" t="s">
        <v>478</v>
      </c>
      <c r="P39">
        <v>151</v>
      </c>
    </row>
    <row r="40" spans="2:16" x14ac:dyDescent="0.3">
      <c r="E40" s="10" t="s">
        <v>59</v>
      </c>
      <c r="F40" s="14">
        <v>595000</v>
      </c>
      <c r="G40" s="14">
        <v>12500000</v>
      </c>
      <c r="H40" s="14">
        <v>20650000</v>
      </c>
      <c r="I40" s="14">
        <v>8400000</v>
      </c>
      <c r="J40" s="14">
        <v>3185000</v>
      </c>
      <c r="K40" s="14">
        <v>525000</v>
      </c>
      <c r="L40" s="14">
        <v>45855000</v>
      </c>
      <c r="O40" s="10" t="s">
        <v>74</v>
      </c>
      <c r="P40">
        <v>142</v>
      </c>
    </row>
    <row r="41" spans="2:16" x14ac:dyDescent="0.3">
      <c r="E41" s="10" t="s">
        <v>489</v>
      </c>
      <c r="F41" s="14">
        <v>8925000</v>
      </c>
      <c r="G41" s="14">
        <v>47750000</v>
      </c>
      <c r="H41" s="14">
        <v>75250000</v>
      </c>
      <c r="I41" s="14">
        <v>48660000</v>
      </c>
      <c r="J41" s="14">
        <v>11440000</v>
      </c>
      <c r="K41" s="14">
        <v>25550000</v>
      </c>
      <c r="L41" s="14">
        <v>217575000</v>
      </c>
      <c r="O41" s="10" t="s">
        <v>179</v>
      </c>
      <c r="P41">
        <v>121</v>
      </c>
    </row>
    <row r="42" spans="2:16" x14ac:dyDescent="0.3">
      <c r="O42" s="10" t="s">
        <v>437</v>
      </c>
      <c r="P42">
        <v>105</v>
      </c>
    </row>
    <row r="43" spans="2:16" x14ac:dyDescent="0.3">
      <c r="O43" s="10" t="s">
        <v>469</v>
      </c>
      <c r="P43">
        <v>19</v>
      </c>
    </row>
    <row r="44" spans="2:16" x14ac:dyDescent="0.3">
      <c r="O44" s="10" t="s">
        <v>471</v>
      </c>
      <c r="P44">
        <v>15</v>
      </c>
    </row>
    <row r="45" spans="2:16" x14ac:dyDescent="0.3">
      <c r="O45" s="10" t="s">
        <v>470</v>
      </c>
      <c r="P45">
        <v>10</v>
      </c>
    </row>
    <row r="46" spans="2:16" x14ac:dyDescent="0.3">
      <c r="O46" s="10" t="s">
        <v>489</v>
      </c>
      <c r="P46">
        <v>1141</v>
      </c>
    </row>
    <row r="47" spans="2:16" ht="20.399999999999999" x14ac:dyDescent="0.45">
      <c r="B47" s="8" t="s">
        <v>513</v>
      </c>
      <c r="E47" s="8" t="s">
        <v>514</v>
      </c>
    </row>
    <row r="48" spans="2:16" x14ac:dyDescent="0.3">
      <c r="B48" s="9" t="s">
        <v>2</v>
      </c>
      <c r="C48" s="11" t="s">
        <v>516</v>
      </c>
      <c r="E48" s="9" t="s">
        <v>2</v>
      </c>
      <c r="F48" s="11" t="s">
        <v>515</v>
      </c>
    </row>
    <row r="49" spans="2:6" x14ac:dyDescent="0.3">
      <c r="B49" s="10" t="s">
        <v>473</v>
      </c>
      <c r="C49" s="26">
        <v>5950000</v>
      </c>
      <c r="E49" s="10" t="s">
        <v>105</v>
      </c>
      <c r="F49">
        <v>226</v>
      </c>
    </row>
    <row r="50" spans="2:6" x14ac:dyDescent="0.3">
      <c r="B50" s="10" t="s">
        <v>119</v>
      </c>
      <c r="C50" s="26">
        <v>3500000</v>
      </c>
      <c r="E50" s="10" t="s">
        <v>473</v>
      </c>
      <c r="F50">
        <v>215</v>
      </c>
    </row>
    <row r="51" spans="2:6" x14ac:dyDescent="0.3">
      <c r="B51" s="10" t="s">
        <v>105</v>
      </c>
      <c r="C51" s="26">
        <v>3300000</v>
      </c>
      <c r="E51" s="10" t="s">
        <v>119</v>
      </c>
      <c r="F51">
        <v>191</v>
      </c>
    </row>
    <row r="52" spans="2:6" x14ac:dyDescent="0.3">
      <c r="B52" s="10" t="s">
        <v>476</v>
      </c>
      <c r="C52" s="26">
        <v>2275000</v>
      </c>
      <c r="E52" s="10" t="s">
        <v>475</v>
      </c>
      <c r="F52">
        <v>176</v>
      </c>
    </row>
    <row r="53" spans="2:6" x14ac:dyDescent="0.3">
      <c r="B53" s="10" t="s">
        <v>474</v>
      </c>
      <c r="C53" s="26">
        <v>1440000</v>
      </c>
      <c r="E53" s="10" t="s">
        <v>476</v>
      </c>
      <c r="F53">
        <v>146</v>
      </c>
    </row>
    <row r="54" spans="2:6" x14ac:dyDescent="0.3">
      <c r="B54" s="10" t="s">
        <v>472</v>
      </c>
      <c r="C54" s="26">
        <v>1020000</v>
      </c>
      <c r="E54" s="10" t="s">
        <v>472</v>
      </c>
      <c r="F54">
        <v>105</v>
      </c>
    </row>
    <row r="55" spans="2:6" x14ac:dyDescent="0.3">
      <c r="B55" s="10" t="s">
        <v>475</v>
      </c>
      <c r="C55" s="26">
        <v>910000</v>
      </c>
      <c r="E55" s="10" t="s">
        <v>474</v>
      </c>
      <c r="F55">
        <v>82</v>
      </c>
    </row>
    <row r="56" spans="2:6" x14ac:dyDescent="0.3">
      <c r="B56" s="10" t="s">
        <v>489</v>
      </c>
      <c r="C56" s="26">
        <v>18395000</v>
      </c>
      <c r="E56" s="10" t="s">
        <v>489</v>
      </c>
      <c r="F56">
        <v>1141</v>
      </c>
    </row>
  </sheetData>
  <pageMargins left="0.7" right="0.7" top="0.75" bottom="0.75" header="0.3" footer="0.3"/>
  <drawing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0D876-FD2F-41B1-A343-081F4E60630B}">
  <dimension ref="C2:O110"/>
  <sheetViews>
    <sheetView zoomScale="96" workbookViewId="0">
      <selection activeCell="I63" sqref="I63"/>
    </sheetView>
  </sheetViews>
  <sheetFormatPr defaultRowHeight="14.4" x14ac:dyDescent="0.3"/>
  <cols>
    <col min="3" max="3" width="10.77734375" bestFit="1" customWidth="1"/>
    <col min="4" max="4" width="10.21875" bestFit="1" customWidth="1"/>
    <col min="5" max="5" width="9.88671875" bestFit="1" customWidth="1"/>
    <col min="9" max="9" width="24.88671875" bestFit="1" customWidth="1"/>
    <col min="11" max="11" width="25.109375" bestFit="1" customWidth="1"/>
    <col min="14" max="14" width="34.88671875" bestFit="1" customWidth="1"/>
    <col min="15" max="15" width="30.33203125" bestFit="1" customWidth="1"/>
  </cols>
  <sheetData>
    <row r="2" spans="3:15" ht="20.399999999999999" x14ac:dyDescent="0.45">
      <c r="C2" s="8" t="s">
        <v>518</v>
      </c>
      <c r="I2" s="8" t="s">
        <v>517</v>
      </c>
    </row>
    <row r="3" spans="3:15" x14ac:dyDescent="0.3">
      <c r="D3" cm="1">
        <f t="array" ref="D3">SUM(1/COUNTIF('Cleaned Dataset'!$G$2:$G$101, 'Cleaned Dataset'!$G$2:$G$101))</f>
        <v>9.9999999999999982</v>
      </c>
      <c r="J3" cm="1">
        <f t="array" ref="J3">SUM(1/COUNTIF('Cleaned Dataset'!$H$2:$H$101,'Cleaned Dataset'!$H$2:$H$101))</f>
        <v>13.999999999999995</v>
      </c>
    </row>
    <row r="7" spans="3:15" ht="19.2" x14ac:dyDescent="0.45">
      <c r="N7" s="18"/>
      <c r="O7" s="17"/>
    </row>
    <row r="9" spans="3:15" ht="20.399999999999999" x14ac:dyDescent="0.45">
      <c r="C9" s="8" t="s">
        <v>519</v>
      </c>
      <c r="I9" s="8" t="s">
        <v>510</v>
      </c>
    </row>
    <row r="10" spans="3:15" x14ac:dyDescent="0.3">
      <c r="D10" cm="1">
        <f t="array" ref="D10">SUM(1/COUNTIF('Cleaned Dataset'!$C$2:$C$101, 'Cleaned Dataset'!$C$2:$C$101))</f>
        <v>6.9999999999999947</v>
      </c>
      <c r="I10" s="28">
        <f>SUM('Cleaned Dataset'!I2:I101)</f>
        <v>217575000</v>
      </c>
    </row>
    <row r="11" spans="3:15" x14ac:dyDescent="0.3">
      <c r="I11" s="7"/>
    </row>
    <row r="12" spans="3:15" x14ac:dyDescent="0.3">
      <c r="I12" s="7"/>
    </row>
    <row r="14" spans="3:15" ht="20.399999999999999" x14ac:dyDescent="0.45">
      <c r="C14" s="8" t="s">
        <v>491</v>
      </c>
      <c r="K14" s="8" t="s">
        <v>511</v>
      </c>
    </row>
    <row r="15" spans="3:15" x14ac:dyDescent="0.3">
      <c r="C15" s="9" t="s">
        <v>2</v>
      </c>
      <c r="D15" s="11" t="s">
        <v>490</v>
      </c>
      <c r="K15" s="26">
        <f>AVERAGE('Cleaned Dataset'!I2:I101)</f>
        <v>2175750</v>
      </c>
    </row>
    <row r="16" spans="3:15" x14ac:dyDescent="0.3">
      <c r="C16" s="10" t="s">
        <v>473</v>
      </c>
      <c r="D16" s="12">
        <v>75250000</v>
      </c>
    </row>
    <row r="17" spans="3:4" x14ac:dyDescent="0.3">
      <c r="C17" s="10" t="s">
        <v>119</v>
      </c>
      <c r="D17" s="12">
        <v>47750000</v>
      </c>
    </row>
    <row r="18" spans="3:4" x14ac:dyDescent="0.3">
      <c r="C18" s="10" t="s">
        <v>105</v>
      </c>
      <c r="D18" s="12">
        <v>33900000</v>
      </c>
    </row>
    <row r="19" spans="3:4" x14ac:dyDescent="0.3">
      <c r="C19" s="10" t="s">
        <v>476</v>
      </c>
      <c r="D19" s="12">
        <v>25550000</v>
      </c>
    </row>
    <row r="20" spans="3:4" x14ac:dyDescent="0.3">
      <c r="C20" s="10" t="s">
        <v>474</v>
      </c>
      <c r="D20" s="12">
        <v>14760000</v>
      </c>
    </row>
    <row r="21" spans="3:4" x14ac:dyDescent="0.3">
      <c r="C21" s="10" t="s">
        <v>475</v>
      </c>
      <c r="D21" s="12">
        <v>11440000</v>
      </c>
    </row>
    <row r="22" spans="3:4" x14ac:dyDescent="0.3">
      <c r="C22" s="10" t="s">
        <v>472</v>
      </c>
      <c r="D22" s="12">
        <v>8925000</v>
      </c>
    </row>
    <row r="23" spans="3:4" x14ac:dyDescent="0.3">
      <c r="C23" s="10" t="s">
        <v>489</v>
      </c>
      <c r="D23" s="12">
        <v>217575000</v>
      </c>
    </row>
    <row r="27" spans="3:4" ht="20.399999999999999" x14ac:dyDescent="0.45">
      <c r="C27" s="8" t="s">
        <v>507</v>
      </c>
    </row>
    <row r="28" spans="3:4" x14ac:dyDescent="0.3">
      <c r="C28" s="9" t="s">
        <v>508</v>
      </c>
      <c r="D28" s="11" t="s">
        <v>509</v>
      </c>
    </row>
    <row r="29" spans="3:4" x14ac:dyDescent="0.3">
      <c r="C29" s="10" t="s">
        <v>500</v>
      </c>
      <c r="D29" s="11">
        <v>126900000</v>
      </c>
    </row>
    <row r="30" spans="3:4" x14ac:dyDescent="0.3">
      <c r="C30" s="10" t="s">
        <v>501</v>
      </c>
      <c r="D30" s="11">
        <v>90675000</v>
      </c>
    </row>
    <row r="31" spans="3:4" x14ac:dyDescent="0.3">
      <c r="C31" s="10" t="s">
        <v>489</v>
      </c>
      <c r="D31" s="11">
        <v>217575000</v>
      </c>
    </row>
    <row r="45" spans="3:4" ht="20.399999999999999" x14ac:dyDescent="0.45">
      <c r="C45" s="8" t="s">
        <v>491</v>
      </c>
    </row>
    <row r="46" spans="3:4" x14ac:dyDescent="0.3">
      <c r="C46" s="9" t="s">
        <v>2</v>
      </c>
      <c r="D46" s="11" t="s">
        <v>490</v>
      </c>
    </row>
    <row r="47" spans="3:4" x14ac:dyDescent="0.3">
      <c r="C47" s="10" t="s">
        <v>473</v>
      </c>
      <c r="D47" s="12">
        <v>75250000</v>
      </c>
    </row>
    <row r="48" spans="3:4" x14ac:dyDescent="0.3">
      <c r="C48" s="10" t="s">
        <v>119</v>
      </c>
      <c r="D48" s="12">
        <v>47750000</v>
      </c>
    </row>
    <row r="49" spans="3:5" x14ac:dyDescent="0.3">
      <c r="C49" s="10" t="s">
        <v>105</v>
      </c>
      <c r="D49" s="12">
        <v>33900000</v>
      </c>
    </row>
    <row r="50" spans="3:5" x14ac:dyDescent="0.3">
      <c r="C50" s="10" t="s">
        <v>476</v>
      </c>
      <c r="D50" s="12">
        <v>25550000</v>
      </c>
    </row>
    <row r="51" spans="3:5" x14ac:dyDescent="0.3">
      <c r="C51" s="10" t="s">
        <v>474</v>
      </c>
      <c r="D51" s="12">
        <v>14760000</v>
      </c>
    </row>
    <row r="52" spans="3:5" x14ac:dyDescent="0.3">
      <c r="C52" s="10" t="s">
        <v>475</v>
      </c>
      <c r="D52" s="12">
        <v>11440000</v>
      </c>
    </row>
    <row r="53" spans="3:5" x14ac:dyDescent="0.3">
      <c r="C53" s="10" t="s">
        <v>472</v>
      </c>
      <c r="D53" s="12">
        <v>8925000</v>
      </c>
    </row>
    <row r="54" spans="3:5" x14ac:dyDescent="0.3">
      <c r="C54" s="10" t="s">
        <v>489</v>
      </c>
      <c r="D54" s="12">
        <v>217575000</v>
      </c>
    </row>
    <row r="63" spans="3:5" ht="20.399999999999999" x14ac:dyDescent="0.45">
      <c r="C63" s="8" t="s">
        <v>512</v>
      </c>
    </row>
    <row r="64" spans="3:5" x14ac:dyDescent="0.3">
      <c r="C64" s="9" t="s">
        <v>7</v>
      </c>
      <c r="D64" t="s">
        <v>495</v>
      </c>
      <c r="E64" t="s">
        <v>496</v>
      </c>
    </row>
    <row r="65" spans="3:5" x14ac:dyDescent="0.3">
      <c r="C65" s="10" t="s">
        <v>260</v>
      </c>
      <c r="D65">
        <v>162</v>
      </c>
      <c r="E65" s="14">
        <v>31180000</v>
      </c>
    </row>
    <row r="66" spans="3:5" x14ac:dyDescent="0.3">
      <c r="C66" s="10" t="s">
        <v>17</v>
      </c>
      <c r="D66">
        <v>133</v>
      </c>
      <c r="E66" s="14">
        <v>27620000</v>
      </c>
    </row>
    <row r="67" spans="3:5" x14ac:dyDescent="0.3">
      <c r="C67" s="10" t="s">
        <v>75</v>
      </c>
      <c r="D67">
        <v>112</v>
      </c>
      <c r="E67" s="14">
        <v>25700000</v>
      </c>
    </row>
    <row r="68" spans="3:5" x14ac:dyDescent="0.3">
      <c r="C68" s="10" t="s">
        <v>485</v>
      </c>
      <c r="D68">
        <v>93</v>
      </c>
      <c r="E68" s="14">
        <v>23635000</v>
      </c>
    </row>
    <row r="69" spans="3:5" x14ac:dyDescent="0.3">
      <c r="C69" s="10" t="s">
        <v>341</v>
      </c>
      <c r="D69">
        <v>75</v>
      </c>
      <c r="E69" s="14">
        <v>15300000</v>
      </c>
    </row>
    <row r="70" spans="3:5" x14ac:dyDescent="0.3">
      <c r="C70" s="10" t="s">
        <v>481</v>
      </c>
      <c r="D70">
        <v>80</v>
      </c>
      <c r="E70" s="14">
        <v>13715000</v>
      </c>
    </row>
    <row r="71" spans="3:5" x14ac:dyDescent="0.3">
      <c r="C71" s="10" t="s">
        <v>483</v>
      </c>
      <c r="D71">
        <v>73</v>
      </c>
      <c r="E71" s="14">
        <v>12740000</v>
      </c>
    </row>
    <row r="72" spans="3:5" x14ac:dyDescent="0.3">
      <c r="C72" s="10" t="s">
        <v>131</v>
      </c>
      <c r="D72">
        <v>76</v>
      </c>
      <c r="E72" s="14">
        <v>12435000</v>
      </c>
    </row>
    <row r="73" spans="3:5" x14ac:dyDescent="0.3">
      <c r="C73" s="10" t="s">
        <v>486</v>
      </c>
      <c r="D73">
        <v>66</v>
      </c>
      <c r="E73" s="14">
        <v>12060000</v>
      </c>
    </row>
    <row r="74" spans="3:5" x14ac:dyDescent="0.3">
      <c r="C74" s="10" t="s">
        <v>63</v>
      </c>
      <c r="D74">
        <v>83</v>
      </c>
      <c r="E74" s="14">
        <v>11480000</v>
      </c>
    </row>
    <row r="75" spans="3:5" x14ac:dyDescent="0.3">
      <c r="C75" s="10" t="s">
        <v>482</v>
      </c>
      <c r="D75">
        <v>47</v>
      </c>
      <c r="E75" s="14">
        <v>11360000</v>
      </c>
    </row>
    <row r="76" spans="3:5" x14ac:dyDescent="0.3">
      <c r="C76" s="10" t="s">
        <v>484</v>
      </c>
      <c r="D76">
        <v>82</v>
      </c>
      <c r="E76" s="14">
        <v>10125000</v>
      </c>
    </row>
    <row r="77" spans="3:5" x14ac:dyDescent="0.3">
      <c r="C77" s="10" t="s">
        <v>487</v>
      </c>
      <c r="D77">
        <v>44</v>
      </c>
      <c r="E77" s="14">
        <v>8030000</v>
      </c>
    </row>
    <row r="78" spans="3:5" x14ac:dyDescent="0.3">
      <c r="C78" s="10" t="s">
        <v>480</v>
      </c>
      <c r="D78">
        <v>15</v>
      </c>
      <c r="E78" s="14">
        <v>2195000</v>
      </c>
    </row>
    <row r="79" spans="3:5" x14ac:dyDescent="0.3">
      <c r="C79" s="10" t="s">
        <v>489</v>
      </c>
      <c r="D79">
        <v>1141</v>
      </c>
      <c r="E79" s="14">
        <v>217575000</v>
      </c>
    </row>
    <row r="83" spans="3:4" ht="20.399999999999999" x14ac:dyDescent="0.45">
      <c r="C83" s="8" t="s">
        <v>497</v>
      </c>
    </row>
    <row r="84" spans="3:4" x14ac:dyDescent="0.3">
      <c r="C84" s="9" t="s">
        <v>6</v>
      </c>
      <c r="D84" s="11" t="s">
        <v>498</v>
      </c>
    </row>
    <row r="85" spans="3:4" x14ac:dyDescent="0.3">
      <c r="C85" s="10" t="s">
        <v>116</v>
      </c>
      <c r="D85" s="14">
        <v>41520000</v>
      </c>
    </row>
    <row r="86" spans="3:4" x14ac:dyDescent="0.3">
      <c r="C86" s="10" t="s">
        <v>319</v>
      </c>
      <c r="D86" s="14">
        <v>34020000</v>
      </c>
    </row>
    <row r="87" spans="3:4" x14ac:dyDescent="0.3">
      <c r="C87" s="10" t="s">
        <v>479</v>
      </c>
      <c r="D87" s="14">
        <v>32080000</v>
      </c>
    </row>
    <row r="88" spans="3:4" x14ac:dyDescent="0.3">
      <c r="C88" s="10" t="s">
        <v>489</v>
      </c>
      <c r="D88" s="14">
        <v>107620000</v>
      </c>
    </row>
    <row r="98" spans="3:4" ht="24.6" x14ac:dyDescent="0.55000000000000004">
      <c r="C98" s="13" t="s">
        <v>492</v>
      </c>
    </row>
    <row r="99" spans="3:4" x14ac:dyDescent="0.3">
      <c r="C99" s="9" t="s">
        <v>1</v>
      </c>
      <c r="D99" s="11" t="s">
        <v>493</v>
      </c>
    </row>
    <row r="100" spans="3:4" x14ac:dyDescent="0.3">
      <c r="C100" s="10" t="s">
        <v>99</v>
      </c>
      <c r="D100" s="14">
        <v>75120000</v>
      </c>
    </row>
    <row r="101" spans="3:4" x14ac:dyDescent="0.3">
      <c r="C101" s="10" t="s">
        <v>8</v>
      </c>
      <c r="D101" s="14">
        <v>57110000</v>
      </c>
    </row>
    <row r="102" spans="3:4" x14ac:dyDescent="0.3">
      <c r="C102" s="10" t="s">
        <v>59</v>
      </c>
      <c r="D102" s="14">
        <v>45855000</v>
      </c>
    </row>
    <row r="103" spans="3:4" x14ac:dyDescent="0.3">
      <c r="C103" s="10" t="s">
        <v>71</v>
      </c>
      <c r="D103" s="14">
        <v>39490000</v>
      </c>
    </row>
    <row r="104" spans="3:4" x14ac:dyDescent="0.3">
      <c r="C104" s="10" t="s">
        <v>489</v>
      </c>
      <c r="D104" s="14">
        <v>217575000</v>
      </c>
    </row>
    <row r="107" spans="3:4" x14ac:dyDescent="0.3">
      <c r="C107" s="10"/>
      <c r="D107" s="14"/>
    </row>
    <row r="108" spans="3:4" x14ac:dyDescent="0.3">
      <c r="C108" s="10"/>
      <c r="D108" s="14"/>
    </row>
    <row r="109" spans="3:4" x14ac:dyDescent="0.3">
      <c r="C109" s="10"/>
      <c r="D109" s="14"/>
    </row>
    <row r="110" spans="3:4" x14ac:dyDescent="0.3">
      <c r="C110" s="10"/>
      <c r="D110" s="14"/>
    </row>
  </sheetData>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45386-EDAC-4FDA-B632-61B351DD8E7B}">
  <dimension ref="A1"/>
  <sheetViews>
    <sheetView showGridLines="0" zoomScale="65" workbookViewId="0">
      <selection activeCell="Q22" sqref="Q22"/>
    </sheetView>
  </sheetViews>
  <sheetFormatPr defaultRowHeight="14.4" x14ac:dyDescent="0.3"/>
  <cols>
    <col min="1" max="16384" width="8.88671875" style="15"/>
  </cols>
  <sheetData>
    <row r="1" spans="1:1" x14ac:dyDescent="0.3">
      <c r="A1"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3D5B5-2E30-417D-AC06-37EA6BE61B3E}">
  <dimension ref="A1:E39"/>
  <sheetViews>
    <sheetView showGridLines="0" workbookViewId="0">
      <selection activeCell="L17" activeCellId="1" sqref="J40 L17"/>
    </sheetView>
  </sheetViews>
  <sheetFormatPr defaultRowHeight="14.4" x14ac:dyDescent="0.3"/>
  <sheetData>
    <row r="1" spans="1:4" x14ac:dyDescent="0.3">
      <c r="A1" t="s">
        <v>531</v>
      </c>
    </row>
    <row r="2" spans="1:4" ht="20.399999999999999" x14ac:dyDescent="0.3">
      <c r="D2" s="29" t="s">
        <v>520</v>
      </c>
    </row>
    <row r="3" spans="1:4" ht="15" x14ac:dyDescent="0.3">
      <c r="C3" s="31" t="s">
        <v>532</v>
      </c>
    </row>
    <row r="4" spans="1:4" ht="15" x14ac:dyDescent="0.35">
      <c r="B4" s="32" t="s">
        <v>533</v>
      </c>
    </row>
    <row r="5" spans="1:4" ht="15" x14ac:dyDescent="0.35">
      <c r="B5" s="32" t="s">
        <v>534</v>
      </c>
    </row>
    <row r="6" spans="1:4" ht="15" x14ac:dyDescent="0.3">
      <c r="B6" s="30" t="s">
        <v>535</v>
      </c>
    </row>
    <row r="8" spans="1:4" ht="15" x14ac:dyDescent="0.3">
      <c r="B8" s="30" t="s">
        <v>521</v>
      </c>
    </row>
    <row r="10" spans="1:4" ht="15" x14ac:dyDescent="0.3">
      <c r="B10" s="30" t="s">
        <v>522</v>
      </c>
    </row>
    <row r="12" spans="1:4" ht="15" x14ac:dyDescent="0.35">
      <c r="B12" s="32" t="s">
        <v>536</v>
      </c>
    </row>
    <row r="13" spans="1:4" ht="15" x14ac:dyDescent="0.3">
      <c r="B13" s="30" t="s">
        <v>537</v>
      </c>
    </row>
    <row r="15" spans="1:4" ht="15" x14ac:dyDescent="0.3">
      <c r="B15" s="30" t="s">
        <v>523</v>
      </c>
    </row>
    <row r="17" spans="2:5" ht="15" x14ac:dyDescent="0.35">
      <c r="B17" s="32" t="s">
        <v>538</v>
      </c>
    </row>
    <row r="18" spans="2:5" ht="15" x14ac:dyDescent="0.35">
      <c r="B18" s="32" t="s">
        <v>539</v>
      </c>
    </row>
    <row r="20" spans="2:5" ht="15" x14ac:dyDescent="0.3">
      <c r="B20" s="30" t="s">
        <v>524</v>
      </c>
    </row>
    <row r="22" spans="2:5" ht="15" x14ac:dyDescent="0.3">
      <c r="E22" s="31" t="s">
        <v>540</v>
      </c>
    </row>
    <row r="23" spans="2:5" ht="15" x14ac:dyDescent="0.3">
      <c r="C23" s="30" t="s">
        <v>525</v>
      </c>
    </row>
    <row r="24" spans="2:5" ht="15" x14ac:dyDescent="0.3">
      <c r="C24" s="30" t="s">
        <v>526</v>
      </c>
    </row>
    <row r="25" spans="2:5" ht="15" x14ac:dyDescent="0.3">
      <c r="C25" s="30" t="s">
        <v>527</v>
      </c>
    </row>
    <row r="26" spans="2:5" ht="15" x14ac:dyDescent="0.3">
      <c r="C26" s="30" t="s">
        <v>528</v>
      </c>
    </row>
    <row r="27" spans="2:5" ht="15" x14ac:dyDescent="0.3">
      <c r="C27" s="30" t="s">
        <v>529</v>
      </c>
    </row>
    <row r="30" spans="2:5" ht="15" x14ac:dyDescent="0.3">
      <c r="E30" s="31" t="s">
        <v>541</v>
      </c>
    </row>
    <row r="31" spans="2:5" ht="15" x14ac:dyDescent="0.3">
      <c r="C31" s="30" t="s">
        <v>530</v>
      </c>
    </row>
    <row r="32" spans="2:5" ht="15" x14ac:dyDescent="0.35">
      <c r="C32" s="32" t="s">
        <v>542</v>
      </c>
    </row>
    <row r="33" spans="3:3" ht="15" x14ac:dyDescent="0.35">
      <c r="C33" s="32" t="s">
        <v>543</v>
      </c>
    </row>
    <row r="35" spans="3:3" ht="15" x14ac:dyDescent="0.3">
      <c r="C35" s="30" t="s">
        <v>544</v>
      </c>
    </row>
    <row r="37" spans="3:3" ht="15" x14ac:dyDescent="0.35">
      <c r="C37" s="32" t="s">
        <v>545</v>
      </c>
    </row>
    <row r="39" spans="3:3" ht="15" x14ac:dyDescent="0.35">
      <c r="C39" s="32" t="s">
        <v>546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Raw Data</vt:lpstr>
      <vt:lpstr>Cleaned Dataset</vt:lpstr>
      <vt:lpstr>Pivot table</vt:lpstr>
      <vt:lpstr>KPIs</vt:lpstr>
      <vt:lpstr>Dashboard</vt:lpstr>
      <vt:lpstr>Dashboard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Muhsin H.</dc:creator>
  <cp:keywords>Personal</cp:keywords>
  <cp:lastModifiedBy>Oluwayemisi Olufemi</cp:lastModifiedBy>
  <dcterms:created xsi:type="dcterms:W3CDTF">2025-10-20T20:05:08Z</dcterms:created>
  <dcterms:modified xsi:type="dcterms:W3CDTF">2026-02-21T13:45:24Z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2025-10-28T17:00:44Z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e850a7d0-6f71-4a59-8f31-fc421635ba4f</vt:lpwstr>
  </property>
  <property fmtid="{D5CDD505-2E9C-101B-9397-08002B2CF9AE}" pid="7" name="MSIP_Label_defa4170-0d19-0005-0004-bc88714345d2_ActionId">
    <vt:lpwstr>a905a4e3-0ba4-43da-99e7-ede8b93906d5</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